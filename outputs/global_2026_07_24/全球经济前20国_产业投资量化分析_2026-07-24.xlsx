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6ec120758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Inputs" sheetId="1" r:id="R57eb87be919c4df8"/>
    <x:sheet xmlns:r="http://schemas.openxmlformats.org/officeDocument/2006/relationships" name="Country Ranking" sheetId="2" r:id="R3cd053b6df654388"/>
    <x:sheet xmlns:r="http://schemas.openxmlformats.org/officeDocument/2006/relationships" name="Industry Thesis" sheetId="3" r:id="R0cfe1e1d505241ce"/>
    <x:sheet xmlns:r="http://schemas.openxmlformats.org/officeDocument/2006/relationships" name="Portfolio" sheetId="4" r:id="R09f4eba3fb864806"/>
    <x:sheet xmlns:r="http://schemas.openxmlformats.org/officeDocument/2006/relationships" name="Scenarios" sheetId="5" r:id="Re761dddb76bf46bf"/>
    <x:sheet xmlns:r="http://schemas.openxmlformats.org/officeDocument/2006/relationships" name="Summary" sheetId="6" r:id="R47ec44dc9bca4c8b"/>
    <x:sheet xmlns:r="http://schemas.openxmlformats.org/officeDocument/2006/relationships" name="Sources &amp; Checks" sheetId="7" r:id="R505f62bfd883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0.0%"/>
    <x:numFmt numFmtId="202" formatCode="0.0"/>
    <x:numFmt numFmtId="203" formatCode="0.00x"/>
    <x:numFmt numFmtId="204" formatCode="0.00"/>
    <x:numFmt numFmtId="205" formatCode="#,##0"/>
    <x:numFmt numFmtId="206" formatCode="$0.00"/>
    <x:numFmt numFmtId="207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sz val="9"/>
      <x:color rgb="FF222222"/>
      <x:name val="Carlito"/>
    </x:font>
    <x:font>
      <x:sz val="9"/>
      <x:color rgb="FF4472C4"/>
      <x:name val="Carlito"/>
    </x:font>
    <x:font>
      <x:b/>
      <x:sz val="9"/>
      <x:color rgb="FF70AD47"/>
      <x:name val="Carlito"/>
    </x:font>
    <x:font>
      <x:b/>
      <x:sz val="9"/>
      <x:color rgb="FF17365D"/>
      <x:name val="Carlito"/>
    </x:font>
    <x:font>
      <x:b/>
      <x:sz val="11"/>
      <x:color rgb="FF17365D"/>
      <x:name val="Carlito"/>
    </x:font>
    <x:font>
      <x:b/>
      <x:sz val="9"/>
      <x:color rgb="FF222222"/>
      <x:name val="Carlito"/>
    </x:font>
    <x:font>
      <x:sz val="9"/>
      <x:color rgb="FF70AD47"/>
      <x:name val="Carlito"/>
    </x:font>
    <x:font>
      <x:b/>
      <x:sz val="9"/>
      <x:color rgb="FF7030A0"/>
      <x:name val="Carlito"/>
    </x:font>
    <x:font>
      <x:sz val="8"/>
      <x:color rgb="FF7F8C8D"/>
      <x:name val="Carlito"/>
    </x:font>
    <x:font>
      <x:b/>
      <x:sz val="9"/>
      <x:color rgb="FF4472C4"/>
      <x:name val="Carlito"/>
    </x:font>
    <x:font>
      <x:sz val="8"/>
      <x:color rgb="FF4472C4"/>
      <x:name val="Carlito"/>
    </x:font>
    <x:font>
      <x:b/>
      <x:sz val="18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7FBFD"/>
      </x:patternFill>
    </x:fill>
  </x:fills>
  <x:borders count="5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1" fontId="10" fillId="0" borderId="4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4" fontId="10" fillId="0" borderId="4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6" fillId="0" borderId="4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/>
    </x:xf>
    <x:xf numFmtId="205" fontId="1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10" fillId="0" borderId="4" xfId="0" applyNumberFormat="1" applyFont="1" applyFill="1" applyBorder="1" applyAlignment="1">
      <x:alignment vertical="center"/>
    </x:xf>
    <x:xf numFmtId="205" fontId="10" fillId="0" borderId="0" xfId="0" applyNumberFormat="1" applyFont="1" applyFill="1" applyBorder="1" applyAlignment="1">
      <x:alignment vertical="center"/>
    </x:xf>
    <x:xf numFmtId="205" fontId="10" fillId="0" borderId="4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2" fontId="10" fillId="0" borderId="4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01" fontId="13" fillId="0" borderId="4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6" fontId="5" fillId="0" borderId="4" xfId="0" applyNumberFormat="1" applyFont="1" applyFill="1" applyBorder="1" applyAlignment="1">
      <x:alignment vertical="center"/>
    </x:xf>
    <x:xf numFmtId="207" fontId="10" fillId="0" borderId="0" xfId="0" applyNumberFormat="1" applyFont="1" applyFill="1" applyBorder="1" applyAlignment="1">
      <x:alignment vertical="center"/>
    </x:xf>
    <x:xf numFmtId="207" fontId="10" fillId="0" borderId="4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3" fontId="10" fillId="0" borderId="4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4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6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05333e25c42b3" /><Relationship Type="http://schemas.openxmlformats.org/officeDocument/2006/relationships/theme" Target="/xl/theme/theme1.xml" Id="Rf4da4b1f909843cd" /><Relationship Type="http://schemas.openxmlformats.org/officeDocument/2006/relationships/sharedStrings" Target="/xl/sharedStrings.xml" Id="Rb106bf9dfaae42fa" /><Relationship Type="http://schemas.openxmlformats.org/officeDocument/2006/relationships/worksheet" Target="/xl/worksheets/sheet1.xml" Id="R57eb87be919c4df8" /><Relationship Type="http://schemas.openxmlformats.org/officeDocument/2006/relationships/worksheet" Target="/xl/worksheets/sheet2.xml" Id="R3cd053b6df654388" /><Relationship Type="http://schemas.openxmlformats.org/officeDocument/2006/relationships/worksheet" Target="/xl/worksheets/sheet3.xml" Id="R0cfe1e1d505241ce" /><Relationship Type="http://schemas.openxmlformats.org/officeDocument/2006/relationships/worksheet" Target="/xl/worksheets/sheet4.xml" Id="R09f4eba3fb864806" /><Relationship Type="http://schemas.openxmlformats.org/officeDocument/2006/relationships/worksheet" Target="/xl/worksheets/sheet5.xml" Id="Re761dddb76bf46bf" /><Relationship Type="http://schemas.openxmlformats.org/officeDocument/2006/relationships/worksheet" Target="/xl/worksheets/sheet6.xml" Id="R47ec44dc9bca4c8b" /><Relationship Type="http://schemas.openxmlformats.org/officeDocument/2006/relationships/worksheet" Target="/xl/worksheets/sheet7.xml" Id="R505f62bfd88341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2089ae3a414ab2" /><Relationship Type="http://schemas.openxmlformats.org/officeDocument/2006/relationships/chart" Target="/xl/drawings/charts/chart2.xml" Id="R4815d9ed921d44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前10国综合分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综合分</c:v>
          </c:tx>
          <c:cat>
            <c:strRef>
              <c:f>'Summary'!$B$9:$B$18</c:f>
              <c:strCache>
                <c:ptCount val="0"/>
              </c:strCache>
            </c:strRef>
          </c:cat>
          <c:val>
            <c:numRef>
              <c:f>'Summary'!$C$9:$C$18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总组合资产配置</a:t>
            </a:r>
          </a:p>
        </c:rich>
      </c:tx>
    </c:title>
    <c:plotArea>
      <c:doughnutChart>
        <c:ser>
          <c:idx val="0"/>
          <c:order val="0"/>
          <c:tx>
            <c:v>总组合权重</c:v>
          </c:tx>
          <c:cat>
            <c:strRef>
              <c:f>'Summary'!$A$23:$A$26</c:f>
              <c:strCache>
                <c:ptCount val="0"/>
              </c:strCache>
            </c:strRef>
          </c:cat>
          <c:val>
            <c:numRef>
              <c:f>'Summary'!$B$23:$B$26</c:f>
              <c:numCache>
                <c:formatCode>0%</c:formatCode>
                <c:ptCount val="0"/>
              </c:numCache>
            </c:numRef>
          </c:val>
        </c:ser>
      </c:doughnut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2089ae3a414ab2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15d9ed921d44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15b762502fe4b8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60" hidden="0" customWidth="1"/>
  </x:cols>
  <x:sheetData>
    <x:row r="1" ht="34" customHeight="1">
      <x:c r="A1" s="97" t="str">
        <x:v>模型输入与权重</x:v>
      </x:c>
    </x:row>
    <x:row r="2" ht="30" customHeight="1">
      <x:c r="A2" s="8" t="str">
        <x:v>蓝色字体为可调整假设；绿色字体为跨表公式。分数反映“经济质量 × 可投资性”，不是GDP增速排行榜。</x:v>
      </x:c>
    </x:row>
    <x:row r="4" ht="28" customHeight="1">
      <x:c r="A4" s="20" t="str">
        <x:v>资产配置</x:v>
      </x:c>
      <x:c r="B4" s="21" t="str">
        <x:v>权重</x:v>
      </x:c>
      <x:c r="C4" s="22" t="str">
        <x:v>说明</x:v>
      </x:c>
    </x:row>
    <x:row r="5">
      <x:c r="A5" s="31" t="str">
        <x:v>20国股票篮子</x:v>
      </x:c>
      <x:c r="B5" s="28" t="n">
        <x:v>0.65</x:v>
      </x:c>
      <x:c r="C5" s="25" t="str">
        <x:v>中等风险总组合的权益卫星仓</x:v>
      </x:c>
    </x:row>
    <x:row r="6">
      <x:c r="A6" s="31" t="str">
        <x:v>1-3年美债</x:v>
      </x:c>
      <x:c r="B6" s="28" t="n">
        <x:v>0.2</x:v>
      </x:c>
      <x:c r="C6" s="25" t="str">
        <x:v>示例：SGOV/BIL；降低回撤与提供再平衡资金</x:v>
      </x:c>
    </x:row>
    <x:row r="7">
      <x:c r="A7" s="31" t="str">
        <x:v>黄金</x:v>
      </x:c>
      <x:c r="B7" s="28" t="n">
        <x:v>0.1</x:v>
      </x:c>
      <x:c r="C7" s="25" t="str">
        <x:v>示例：IAU；对冲地缘、通胀尾部风险</x:v>
      </x:c>
    </x:row>
    <x:row r="8">
      <x:c r="A8" s="31" t="str">
        <x:v>现金</x:v>
      </x:c>
      <x:c r="B8" s="28" t="n">
        <x:v>0.05</x:v>
      </x:c>
      <x:c r="C8" s="25" t="str">
        <x:v>等待回撤分批建仓</x:v>
      </x:c>
    </x:row>
    <x:row r="9">
      <x:c r="A9" s="31" t="str">
        <x:v>增长</x:v>
      </x:c>
      <x:c r="B9" s="28" t="n">
        <x:v>0.25</x:v>
      </x:c>
      <x:c r="C9" s="25" t="str">
        <x:v>2026/27实际GDP预测；缺失2027时只用2026</x:v>
      </x:c>
    </x:row>
    <x:row r="10">
      <x:c r="A10" s="31" t="str">
        <x:v>产业结构</x:v>
      </x:c>
      <x:c r="B10" s="28" t="n">
        <x:v>0.2</x:v>
      </x:c>
      <x:c r="C10" s="25" t="str">
        <x:v>技术扩散、制造/服务链条、资本开支（0-10）</x:v>
      </x:c>
    </x:row>
    <x:row r="11">
      <x:c r="A11" s="31" t="str">
        <x:v>宏观韧性</x:v>
      </x:c>
      <x:c r="B11" s="28" t="n">
        <x:v>0.15</x:v>
      </x:c>
      <x:c r="C11" s="25" t="str">
        <x:v>财政、外部平衡、能源与政策缓冲（0-10）</x:v>
      </x:c>
    </x:row>
    <x:row r="12">
      <x:c r="A12" s="31" t="str">
        <x:v>市场可投性</x:v>
      </x:c>
      <x:c r="B12" s="28" t="n">
        <x:v>0.15</x:v>
      </x:c>
      <x:c r="C12" s="25" t="str">
        <x:v>流动性、制度、ETF映射、资本准入（0-10）</x:v>
      </x:c>
    </x:row>
    <x:row r="13">
      <x:c r="A13" s="31" t="str">
        <x:v>估值</x:v>
      </x:c>
      <x:c r="B13" s="28" t="n">
        <x:v>0.15</x:v>
      </x:c>
      <x:c r="C13" s="25" t="str">
        <x:v>ETF P/E与股息率的规则化打分</x:v>
      </x:c>
    </x:row>
    <x:row r="14">
      <x:c r="A14" s="31" t="str">
        <x:v>拥挤/动量</x:v>
      </x:c>
      <x:c r="B14" s="28" t="n">
        <x:v>0.1</x:v>
      </x:c>
      <x:c r="C14" s="25" t="str">
        <x:v>对极端涨幅及高波动进行惩罚</x:v>
      </x:c>
    </x:row>
    <x:row r="15">
      <x:c r="A15" s="32" t="str">
        <x:v>权重合计</x:v>
      </x:c>
      <x:c r="B15" s="30" t="n">
        <x:f>SUM(B9:B14)</x:f>
        <x:v>1</x:v>
      </x:c>
      <x:c r="C15" s="26" t="str">
        <x:v>应为100%</x:v>
      </x:c>
    </x:row>
    <x:row r="17" ht="28" customHeight="1">
      <x:c r="A17" s="20" t="str">
        <x:v>评分规则</x:v>
      </x:c>
      <x:c r="B17" s="21" t="str">
        <x:v>公式/阈值</x:v>
      </x:c>
      <x:c r="C17" s="22" t="str">
        <x:v>解释</x:v>
      </x:c>
    </x:row>
    <x:row r="18">
      <x:c r="A18" s="25" t="str">
        <x:v>增长分</x:v>
      </x:c>
      <x:c r="B18" s="25" t="str">
        <x:v>MIN(10,MAX(0,2+加权GDP增长))</x:v>
      </x:c>
      <x:c r="C18" s="25" t="str">
        <x:v>高增长加分，但封顶10分</x:v>
      </x:c>
    </x:row>
    <x:row r="19">
      <x:c r="A19" s="25" t="str">
        <x:v>估值分</x:v>
      </x:c>
      <x:c r="B19" s="25" t="str">
        <x:v>8-(P/E-12)/3+股息率×50</x:v>
      </x:c>
      <x:c r="C19" s="25" t="str">
        <x:v>越便宜、股息越高，分数越高；封顶10分</x:v>
      </x:c>
    </x:row>
    <x:row r="20">
      <x:c r="A20" s="25" t="str">
        <x:v>拥挤分</x:v>
      </x:c>
      <x:c r="B20" s="25" t="str">
        <x:v>10-|YTD|/15%-|波动率-18%|/10</x:v>
      </x:c>
      <x:c r="C20" s="25" t="str">
        <x:v>惩罚暴涨暴跌及异常波动；封底0分</x:v>
      </x:c>
    </x:row>
    <x:row r="21">
      <x:c r="A21" s="25" t="str">
        <x:v>超配</x:v>
      </x:c>
      <x:c r="B21" s="25" t="str">
        <x:v>综合分≥7.4且拥挤分≥3</x:v>
      </x:c>
      <x:c r="C21" s="25" t="str">
        <x:v>经济与投资条件兼具</x:v>
      </x:c>
    </x:row>
    <x:row r="22">
      <x:c r="A22" s="25" t="str">
        <x:v>标配</x:v>
      </x:c>
      <x:c r="B22" s="25" t="str">
        <x:v>综合分≥6.8</x:v>
      </x:c>
      <x:c r="C22" s="25" t="str">
        <x:v>质量可接受，按模型仓位</x:v>
      </x:c>
    </x:row>
    <x:row r="23">
      <x:c r="A23" s="26" t="str">
        <x:v>观察/回撤买</x:v>
      </x:c>
      <x:c r="B23" s="26" t="str">
        <x:v>拥挤分&lt;3</x:v>
      </x:c>
      <x:c r="C23" s="26" t="str">
        <x:v>经济好，但价格/波动已显著透支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1" hidden="0" customWidth="1"/>
    <x:col min="4" max="4" width="11" hidden="0" customWidth="1"/>
    <x:col min="5" max="5" width="12" hidden="0" customWidth="1"/>
    <x:col min="6" max="6" width="11" hidden="0" customWidth="1"/>
    <x:col min="7" max="7" width="11" hidden="0" customWidth="1"/>
    <x:col min="8" max="8" width="12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6" hidden="0" customWidth="1"/>
    <x:col min="18" max="18" width="9" hidden="0" customWidth="1"/>
    <x:col min="19" max="19" width="11" hidden="0" customWidth="1"/>
    <x:col min="20" max="20" width="11" hidden="0" customWidth="1"/>
  </x:cols>
  <x:sheetData>
    <x:row r="1" ht="34" customHeight="1">
      <x:c r="A1" s="97" t="str">
        <x:v>全球经济发展与可投资性：前20国量化排名</x:v>
      </x:c>
    </x:row>
    <x:row r="2" ht="30" customHeight="1">
      <x:c r="A2" s="8" t="str">
        <x:v>截至2026-07-24。综合权重：增长25%、产业20%、宏观韧性15%、市场可投性15%、估值15%、拥挤/动量10%。这是面向可投资市场的模型排名，不等同于“国家实力榜”。</x:v>
      </x:c>
    </x:row>
    <x:row r="4">
      <x:c r="A4" s="34" t="str">
        <x:v>核心结论</x:v>
      </x:c>
      <x:c r="B4" s="37" t="str">
        <x:v>经济强 ≠ 股市可追；中国台湾与韩国的AI硬件景气最高，但估值/涨幅/波动使建议降为“回撤买”。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</x:row>
    <x:row r="5">
      <x:c r="A5" s="34" t="str">
        <x:v>更均衡的机会</x:v>
      </x:c>
      <x:c r="B5" s="37" t="str">
        <x:v>新加坡、马来西亚、印度、中国、丹麦/瑞典/挪威；增长、估值或防守属性更平衡。</x:v>
      </x:c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</x:row>
    <x:row r="6">
      <x:c r="A6" s="34" t="str">
        <x:v>最大映射偏差</x:v>
      </x:c>
      <x:c r="B6" s="37" t="str">
        <x:v>越南宏观与AI出口强，但VNM的IT权重很低；必须把“国家故事”与“ETF持仓”分开核验。</x:v>
      </x:c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</x:row>
    <x:row r="7" ht="28" customHeight="1">
      <x:c r="A7" s="20" t="str">
        <x:v>排名</x:v>
      </x:c>
      <x:c r="B7" s="21" t="str">
        <x:v>国家/地区</x:v>
      </x:c>
      <x:c r="C7" s="21" t="str">
        <x:v>2026 GDP%</x:v>
      </x:c>
      <x:c r="D7" s="21" t="str">
        <x:v>2027 GDP%</x:v>
      </x:c>
      <x:c r="E7" s="21" t="str">
        <x:v>加权增长%</x:v>
      </x:c>
      <x:c r="F7" s="21" t="str">
        <x:v>产业结构</x:v>
      </x:c>
      <x:c r="G7" s="21" t="str">
        <x:v>宏观韧性</x:v>
      </x:c>
      <x:c r="H7" s="21" t="str">
        <x:v>市场可投性</x:v>
      </x:c>
      <x:c r="I7" s="21" t="str">
        <x:v>ETF P/E</x:v>
      </x:c>
      <x:c r="J7" s="21" t="str">
        <x:v>股息率</x:v>
      </x:c>
      <x:c r="K7" s="21" t="str">
        <x:v>YTD</x:v>
      </x:c>
      <x:c r="L7" s="21" t="str">
        <x:v>1年收益</x:v>
      </x:c>
      <x:c r="M7" s="21" t="str">
        <x:v>波动率</x:v>
      </x:c>
      <x:c r="N7" s="21" t="str">
        <x:v>估值分</x:v>
      </x:c>
      <x:c r="O7" s="21" t="str">
        <x:v>拥挤分</x:v>
      </x:c>
      <x:c r="P7" s="21" t="str">
        <x:v>综合分</x:v>
      </x:c>
      <x:c r="Q7" s="21" t="str">
        <x:v>建议</x:v>
      </x:c>
      <x:c r="R7" s="21" t="str">
        <x:v>ETF</x:v>
      </x:c>
      <x:c r="S7" s="21" t="str">
        <x:v>宏观来源</x:v>
      </x:c>
      <x:c r="T7" s="22" t="str">
        <x:v>ETF来源</x:v>
      </x:c>
    </x:row>
    <x:row r="8" ht="22" customHeight="1">
      <x:c r="A8" s="50" t="n">
        <x:f>RANK(P8,$P$8:$P$27,0)</x:f>
        <x:v>1</x:v>
      </x:c>
      <x:c r="B8" s="46" t="str">
        <x:v>新加坡</x:v>
      </x:c>
      <x:c r="C8" s="38" t="n">
        <x:v>0.03</x:v>
      </x:c>
      <x:c r="D8" s="38"/>
      <x:c r="E8" s="52" t="n">
        <x:f>IF(D8="",C8,C8*0.6+D8*0.4)</x:f>
        <x:v>0.03</x:v>
      </x:c>
      <x:c r="F8" s="48" t="n">
        <x:v>8.5</x:v>
      </x:c>
      <x:c r="G8" s="48" t="n">
        <x:v>9.5</x:v>
      </x:c>
      <x:c r="H8" s="48" t="n">
        <x:v>9</x:v>
      </x:c>
      <x:c r="I8" s="42" t="n">
        <x:v>18.42</x:v>
      </x:c>
      <x:c r="J8" s="38" t="n">
        <x:v>0.0377</x:v>
      </x:c>
      <x:c r="K8" s="38" t="n">
        <x:v>0.0957</x:v>
      </x:c>
      <x:c r="L8" s="38" t="n">
        <x:v>0.1939</x:v>
      </x:c>
      <x:c r="M8" s="38" t="n">
        <x:v>0.1665</x:v>
      </x:c>
      <x:c r="N8" s="54" t="n">
        <x:f>IF(I8="",5,MIN(10,MAX(0,8-(I8-12)/3+J8*50)))</x:f>
        <x:v>7.744999999999999</x:v>
      </x:c>
      <x:c r="O8" s="54" t="n">
        <x:f>MAX(0,10-ABS(K8)*100/15-ABS(M8*100-18)/10)</x:f>
        <x:v>9.227</x:v>
      </x:c>
      <x:c r="P8" s="58" t="n">
        <x:f>MIN(10,MAX(0,2+E8*100))*'Model Inputs'!$B$9+F8*'Model Inputs'!$B$10+G8*'Model Inputs'!$B$11+H8*'Model Inputs'!$B$12+N8*'Model Inputs'!$B$13+O8*'Model Inputs'!$B$14</x:f>
        <x:v>7.809449999999999</x:v>
      </x:c>
      <x:c r="Q8" s="55" t="str">
        <x:f>IF(O8&lt;3,"观察/回撤买入",IF(P8&gt;=7.4,"超配",IF(P8&gt;=6.8,"标配","低配")))</x:f>
        <x:v>超配</x:v>
      </x:c>
      <x:c r="R8" s="60" t="str">
        <x:v>EWS</x:v>
      </x:c>
      <x:c r="S8" s="62" t="str">
        <x:v>M3</x:v>
      </x:c>
      <x:c r="T8" s="62" t="str">
        <x:v>E8</x:v>
      </x:c>
    </x:row>
    <x:row r="9" ht="22" customHeight="1">
      <x:c r="A9" s="50" t="n">
        <x:f>RANK(P9,$P$8:$P$27,0)</x:f>
        <x:v>2</x:v>
      </x:c>
      <x:c r="B9" s="46" t="str">
        <x:v>马来西亚</x:v>
      </x:c>
      <x:c r="C9" s="38" t="n">
        <x:v>0.047</x:v>
      </x:c>
      <x:c r="D9" s="38" t="n">
        <x:v>0.043</x:v>
      </x:c>
      <x:c r="E9" s="52" t="n">
        <x:f>IF(D9="",C9,C9*0.6+D9*0.4)</x:f>
        <x:v>0.045399999999999996</x:v>
      </x:c>
      <x:c r="F9" s="48" t="n">
        <x:v>8.5</x:v>
      </x:c>
      <x:c r="G9" s="48" t="n">
        <x:v>7.5</x:v>
      </x:c>
      <x:c r="H9" s="48" t="n">
        <x:v>6.5</x:v>
      </x:c>
      <x:c r="I9" s="42" t="n">
        <x:v>15.06</x:v>
      </x:c>
      <x:c r="J9" s="38" t="n">
        <x:v>0.0359</x:v>
      </x:c>
      <x:c r="K9" s="38" t="n">
        <x:v>0.0055</x:v>
      </x:c>
      <x:c r="L9" s="38" t="n">
        <x:v>0.155</x:v>
      </x:c>
      <x:c r="M9" s="38" t="n">
        <x:v>0.1259</x:v>
      </x:c>
      <x:c r="N9" s="54" t="n">
        <x:f>IF(I9="",5,MIN(10,MAX(0,8-(I9-12)/3+J9*50)))</x:f>
        <x:v>8.775</x:v>
      </x:c>
      <x:c r="O9" s="54" t="n">
        <x:f>MAX(0,10-ABS(K9)*100/15-ABS(M9*100-18)/10)</x:f>
        <x:v>9.422333333333333</x:v>
      </x:c>
      <x:c r="P9" s="58" t="n">
        <x:f>MIN(10,MAX(0,2+E9*100))*'Model Inputs'!$B$9+F9*'Model Inputs'!$B$10+G9*'Model Inputs'!$B$11+H9*'Model Inputs'!$B$12+N9*'Model Inputs'!$B$13+O9*'Model Inputs'!$B$14</x:f>
        <x:v>7.693483333333333</x:v>
      </x:c>
      <x:c r="Q9" s="55" t="str">
        <x:f>IF(O9&lt;3,"观察/回撤买入",IF(P9&gt;=7.4,"超配",IF(P9&gt;=6.8,"标配","低配")))</x:f>
        <x:v>超配</x:v>
      </x:c>
      <x:c r="R9" s="60" t="str">
        <x:v>EWM</x:v>
      </x:c>
      <x:c r="S9" s="62" t="str">
        <x:v>M1</x:v>
      </x:c>
      <x:c r="T9" s="62" t="str">
        <x:v>E5</x:v>
      </x:c>
    </x:row>
    <x:row r="10" ht="22" customHeight="1">
      <x:c r="A10" s="50" t="n">
        <x:f>RANK(P10,$P$8:$P$27,0)</x:f>
        <x:v>3</x:v>
      </x:c>
      <x:c r="B10" s="46" t="str">
        <x:v>印度</x:v>
      </x:c>
      <x:c r="C10" s="38" t="n">
        <x:v>0.064</x:v>
      </x:c>
      <x:c r="D10" s="38" t="n">
        <x:v>0.067</x:v>
      </x:c>
      <x:c r="E10" s="52" t="n">
        <x:f>IF(D10="",C10,C10*0.6+D10*0.4)</x:f>
        <x:v>0.06520000000000001</x:v>
      </x:c>
      <x:c r="F10" s="48" t="n">
        <x:v>9</x:v>
      </x:c>
      <x:c r="G10" s="48" t="n">
        <x:v>6.5</x:v>
      </x:c>
      <x:c r="H10" s="48" t="n">
        <x:v>8</x:v>
      </x:c>
      <x:c r="I10" s="42" t="n">
        <x:v>22.66</x:v>
      </x:c>
      <x:c r="J10" s="38" t="n">
        <x:v>0</x:v>
      </x:c>
      <x:c r="K10" s="38" t="n">
        <x:v>-0.0909</x:v>
      </x:c>
      <x:c r="L10" s="38" t="n">
        <x:v>-0.1139</x:v>
      </x:c>
      <x:c r="M10" s="38" t="n">
        <x:v>0.1435</x:v>
      </x:c>
      <x:c r="N10" s="54" t="n">
        <x:f>IF(I10="",5,MIN(10,MAX(0,8-(I10-12)/3+J10*50)))</x:f>
        <x:v>4.446666666666667</x:v>
      </x:c>
      <x:c r="O10" s="54" t="n">
        <x:f>MAX(0,10-ABS(K10)*100/15-ABS(M10*100-18)/10)</x:f>
        <x:v>9.029</x:v>
      </x:c>
      <x:c r="P10" s="58" t="n">
        <x:f>MIN(10,MAX(0,2+E10*100))*'Model Inputs'!$B$9+F10*'Model Inputs'!$B$10+G10*'Model Inputs'!$B$11+H10*'Model Inputs'!$B$12+N10*'Model Inputs'!$B$13+O10*'Model Inputs'!$B$14</x:f>
        <x:v>7.674899999999999</x:v>
      </x:c>
      <x:c r="Q10" s="55" t="str">
        <x:f>IF(O10&lt;3,"观察/回撤买入",IF(P10&gt;=7.4,"超配",IF(P10&gt;=6.8,"标配","低配")))</x:f>
        <x:v>超配</x:v>
      </x:c>
      <x:c r="R10" s="60" t="str">
        <x:v>INDA</x:v>
      </x:c>
      <x:c r="S10" s="62" t="str">
        <x:v>M1</x:v>
      </x:c>
      <x:c r="T10" s="62" t="str">
        <x:v>E3</x:v>
      </x:c>
    </x:row>
    <x:row r="11" ht="22" customHeight="1">
      <x:c r="A11" s="50" t="n">
        <x:f>RANK(P11,$P$8:$P$27,0)</x:f>
        <x:v>4</x:v>
      </x:c>
      <x:c r="B11" s="46" t="str">
        <x:v>中国</x:v>
      </x:c>
      <x:c r="C11" s="38" t="n">
        <x:v>0.046</x:v>
      </x:c>
      <x:c r="D11" s="38" t="n">
        <x:v>0.040999999999999995</x:v>
      </x:c>
      <x:c r="E11" s="52" t="n">
        <x:f>IF(D11="",C11,C11*0.6+D11*0.4)</x:f>
        <x:v>0.044</x:v>
      </x:c>
      <x:c r="F11" s="48" t="n">
        <x:v>9</x:v>
      </x:c>
      <x:c r="G11" s="48" t="n">
        <x:v>6.5</x:v>
      </x:c>
      <x:c r="H11" s="48" t="n">
        <x:v>6.5</x:v>
      </x:c>
      <x:c r="I11" s="42" t="n">
        <x:v>13.68</x:v>
      </x:c>
      <x:c r="J11" s="38" t="n">
        <x:v>0.0205</x:v>
      </x:c>
      <x:c r="K11" s="38" t="n">
        <x:v>-0.1465</x:v>
      </x:c>
      <x:c r="L11" s="38" t="n">
        <x:v>-0.0524</x:v>
      </x:c>
      <x:c r="M11" s="38" t="n">
        <x:v>0.2172</x:v>
      </x:c>
      <x:c r="N11" s="54" t="n">
        <x:f>IF(I11="",5,MIN(10,MAX(0,8-(I11-12)/3+J11*50)))</x:f>
        <x:v>8.465</x:v>
      </x:c>
      <x:c r="O11" s="54" t="n">
        <x:f>MAX(0,10-ABS(K11)*100/15-ABS(M11*100-18)/10)</x:f>
        <x:v>8.651333333333334</x:v>
      </x:c>
      <x:c r="P11" s="58" t="n">
        <x:f>MIN(10,MAX(0,2+E11*100))*'Model Inputs'!$B$9+F11*'Model Inputs'!$B$10+G11*'Model Inputs'!$B$11+H11*'Model Inputs'!$B$12+N11*'Model Inputs'!$B$13+O11*'Model Inputs'!$B$14</x:f>
        <x:v>7.484883333333333</x:v>
      </x:c>
      <x:c r="Q11" s="55" t="str">
        <x:f>IF(O11&lt;3,"观察/回撤买入",IF(P11&gt;=7.4,"超配",IF(P11&gt;=6.8,"标配","低配")))</x:f>
        <x:v>超配</x:v>
      </x:c>
      <x:c r="R11" s="60" t="str">
        <x:v>MCHI</x:v>
      </x:c>
      <x:c r="S11" s="62" t="str">
        <x:v>M1</x:v>
      </x:c>
      <x:c r="T11" s="62" t="str">
        <x:v>E9</x:v>
      </x:c>
    </x:row>
    <x:row r="12" ht="22" customHeight="1">
      <x:c r="A12" s="50" t="n">
        <x:f>RANK(P12,$P$8:$P$27,0)</x:f>
        <x:v>5</x:v>
      </x:c>
      <x:c r="B12" s="46" t="str">
        <x:v>丹麦</x:v>
      </x:c>
      <x:c r="C12" s="38" t="n">
        <x:v>0.025</x:v>
      </x:c>
      <x:c r="D12" s="38" t="n">
        <x:v>0.015</x:v>
      </x:c>
      <x:c r="E12" s="52" t="n">
        <x:f>IF(D12="",C12,C12*0.6+D12*0.4)</x:f>
        <x:v>0.020999999999999998</x:v>
      </x:c>
      <x:c r="F12" s="48" t="n">
        <x:v>8.5</x:v>
      </x:c>
      <x:c r="G12" s="48" t="n">
        <x:v>9.5</x:v>
      </x:c>
      <x:c r="H12" s="48" t="n">
        <x:v>7</x:v>
      </x:c>
      <x:c r="I12" s="42" t="n">
        <x:v>16.51</x:v>
      </x:c>
      <x:c r="J12" s="38" t="n">
        <x:v>0.031</x:v>
      </x:c>
      <x:c r="K12" s="38" t="n">
        <x:v>-0.0182</x:v>
      </x:c>
      <x:c r="L12" s="38" t="n">
        <x:v>-0.0008</x:v>
      </x:c>
      <x:c r="M12" s="38" t="n">
        <x:v>0.1535</x:v>
      </x:c>
      <x:c r="N12" s="54" t="n">
        <x:f>IF(I12="",5,MIN(10,MAX(0,8-(I12-12)/3+J12*50)))</x:f>
        <x:v>8.046666666666667</x:v>
      </x:c>
      <x:c r="O12" s="54" t="n">
        <x:f>MAX(0,10-ABS(K12)*100/15-ABS(M12*100-18)/10)</x:f>
        <x:v>9.613666666666665</x:v>
      </x:c>
      <x:c r="P12" s="58" t="n">
        <x:f>MIN(10,MAX(0,2+E12*100))*'Model Inputs'!$B$9+F12*'Model Inputs'!$B$10+G12*'Model Inputs'!$B$11+H12*'Model Inputs'!$B$12+N12*'Model Inputs'!$B$13+O12*'Model Inputs'!$B$14</x:f>
        <x:v>7.368366666666667</x:v>
      </x:c>
      <x:c r="Q12" s="55" t="str">
        <x:f>IF(O12&lt;3,"观察/回撤买入",IF(P12&gt;=7.4,"超配",IF(P12&gt;=6.8,"标配","低配")))</x:f>
        <x:v>标配</x:v>
      </x:c>
      <x:c r="R12" s="60" t="str">
        <x:v>EDEN</x:v>
      </x:c>
      <x:c r="S12" s="62" t="str">
        <x:v>M7</x:v>
      </x:c>
      <x:c r="T12" s="62" t="str">
        <x:v>E11</x:v>
      </x:c>
    </x:row>
    <x:row r="13" ht="22" customHeight="1">
      <x:c r="A13" s="50" t="n">
        <x:f>RANK(P13,$P$8:$P$27,0)</x:f>
        <x:v>6</x:v>
      </x:c>
      <x:c r="B13" s="46" t="str">
        <x:v>瑞典</x:v>
      </x:c>
      <x:c r="C13" s="38" t="n">
        <x:v>0.019</x:v>
      </x:c>
      <x:c r="D13" s="38" t="n">
        <x:v>0.025</x:v>
      </x:c>
      <x:c r="E13" s="52" t="n">
        <x:f>IF(D13="",C13,C13*0.6+D13*0.4)</x:f>
        <x:v>0.021400000000000002</x:v>
      </x:c>
      <x:c r="F13" s="48" t="n">
        <x:v>8.5</x:v>
      </x:c>
      <x:c r="G13" s="48" t="n">
        <x:v>8.5</x:v>
      </x:c>
      <x:c r="H13" s="48" t="n">
        <x:v>8</x:v>
      </x:c>
      <x:c r="I13" s="42" t="n">
        <x:v>18.15</x:v>
      </x:c>
      <x:c r="J13" s="38" t="n">
        <x:v>0.0361</x:v>
      </x:c>
      <x:c r="K13" s="38" t="n">
        <x:v>0.0389</x:v>
      </x:c>
      <x:c r="L13" s="38" t="n">
        <x:v>0.1305</x:v>
      </x:c>
      <x:c r="M13" s="38" t="n">
        <x:v>0.1828</x:v>
      </x:c>
      <x:c r="N13" s="54" t="n">
        <x:f>IF(I13="",5,MIN(10,MAX(0,8-(I13-12)/3+J13*50)))</x:f>
        <x:v>7.755000000000001</x:v>
      </x:c>
      <x:c r="O13" s="54" t="n">
        <x:f>MAX(0,10-ABS(K13)*100/15-ABS(M13*100-18)/10)</x:f>
        <x:v>9.712666666666665</x:v>
      </x:c>
      <x:c r="P13" s="58" t="n">
        <x:f>MIN(10,MAX(0,2+E13*100))*'Model Inputs'!$B$9+F13*'Model Inputs'!$B$10+G13*'Model Inputs'!$B$11+H13*'Model Inputs'!$B$12+N13*'Model Inputs'!$B$13+O13*'Model Inputs'!$B$14</x:f>
        <x:v>7.344516666666667</x:v>
      </x:c>
      <x:c r="Q13" s="55" t="str">
        <x:f>IF(O13&lt;3,"观察/回撤买入",IF(P13&gt;=7.4,"超配",IF(P13&gt;=6.8,"标配","低配")))</x:f>
        <x:v>标配</x:v>
      </x:c>
      <x:c r="R13" s="60" t="str">
        <x:v>EWD</x:v>
      </x:c>
      <x:c r="S13" s="62" t="str">
        <x:v>M8</x:v>
      </x:c>
      <x:c r="T13" s="62" t="str">
        <x:v>E12</x:v>
      </x:c>
    </x:row>
    <x:row r="14" ht="22" customHeight="1">
      <x:c r="A14" s="50" t="n">
        <x:f>RANK(P14,$P$8:$P$27,0)</x:f>
        <x:v>7</x:v>
      </x:c>
      <x:c r="B14" s="46" t="str">
        <x:v>中国台湾</x:v>
      </x:c>
      <x:c r="C14" s="38" t="n">
        <x:v>0.0964</x:v>
      </x:c>
      <x:c r="D14" s="38"/>
      <x:c r="E14" s="52" t="n">
        <x:f>IF(D14="",C14,C14*0.6+D14*0.4)</x:f>
        <x:v>0.0964</x:v>
      </x:c>
      <x:c r="F14" s="48" t="n">
        <x:v>10</x:v>
      </x:c>
      <x:c r="G14" s="48" t="n">
        <x:v>7</x:v>
      </x:c>
      <x:c r="H14" s="48" t="n">
        <x:v>7</x:v>
      </x:c>
      <x:c r="I14" s="42" t="n">
        <x:v>31.23</x:v>
      </x:c>
      <x:c r="J14" s="38" t="n">
        <x:v>0.0282</x:v>
      </x:c>
      <x:c r="K14" s="38" t="n">
        <x:v>0.7086</x:v>
      </x:c>
      <x:c r="L14" s="38" t="n">
        <x:v>0.9891</x:v>
      </x:c>
      <x:c r="M14" s="38" t="n">
        <x:v>0.4392</x:v>
      </x:c>
      <x:c r="N14" s="54" t="n">
        <x:f>IF(I14="",5,MIN(10,MAX(0,8-(I14-12)/3+J14*50)))</x:f>
        <x:v>3</x:v>
      </x:c>
      <x:c r="O14" s="54" t="n">
        <x:f>MAX(0,10-ABS(K14)*100/15-ABS(M14*100-18)/10)</x:f>
        <x:v>2.684</x:v>
      </x:c>
      <x:c r="P14" s="58" t="n">
        <x:f>MIN(10,MAX(0,2+E14*100))*'Model Inputs'!$B$9+F14*'Model Inputs'!$B$10+G14*'Model Inputs'!$B$11+H14*'Model Inputs'!$B$12+N14*'Model Inputs'!$B$13+O14*'Model Inputs'!$B$14</x:f>
        <x:v>7.3184</x:v>
      </x:c>
      <x:c r="Q14" s="55" t="str">
        <x:f>IF(O14&lt;3,"观察/回撤买入",IF(P14&gt;=7.4,"超配",IF(P14&gt;=6.8,"标配","低配")))</x:f>
        <x:v>观察/回撤买入</x:v>
      </x:c>
      <x:c r="R14" s="60" t="str">
        <x:v>EWT</x:v>
      </x:c>
      <x:c r="S14" s="62" t="str">
        <x:v>M4</x:v>
      </x:c>
      <x:c r="T14" s="62" t="str">
        <x:v>E1</x:v>
      </x:c>
    </x:row>
    <x:row r="15" ht="22" customHeight="1">
      <x:c r="A15" s="50" t="n">
        <x:f>RANK(P15,$P$8:$P$27,0)</x:f>
        <x:v>8</x:v>
      </x:c>
      <x:c r="B15" s="46" t="str">
        <x:v>越南</x:v>
      </x:c>
      <x:c r="C15" s="38" t="n">
        <x:v>0.068</x:v>
      </x:c>
      <x:c r="D15" s="38" t="n">
        <x:v>0.071</x:v>
      </x:c>
      <x:c r="E15" s="52" t="n">
        <x:f>IF(D15="",C15,C15*0.6+D15*0.4)</x:f>
        <x:v>0.0692</x:v>
      </x:c>
      <x:c r="F15" s="48" t="n">
        <x:v>9</x:v>
      </x:c>
      <x:c r="G15" s="48" t="n">
        <x:v>6</x:v>
      </x:c>
      <x:c r="H15" s="48" t="n">
        <x:v>4</x:v>
      </x:c>
      <x:c r="I15" s="42"/>
      <x:c r="J15" s="38" t="n">
        <x:v>0.002</x:v>
      </x:c>
      <x:c r="K15" s="38" t="n">
        <x:v>-0.0141</x:v>
      </x:c>
      <x:c r="L15" s="38" t="n">
        <x:v>0.3456</x:v>
      </x:c>
      <x:c r="M15" s="38" t="n">
        <x:v>0.2071</x:v>
      </x:c>
      <x:c r="N15" s="54" t="n">
        <x:f>IF(I15="",5,MIN(10,MAX(0,8-(I15-12)/3+J15*50)))</x:f>
        <x:v>5</x:v>
      </x:c>
      <x:c r="O15" s="54" t="n">
        <x:f>MAX(0,10-ABS(K15)*100/15-ABS(M15*100-18)/10)</x:f>
        <x:v>9.635</x:v>
      </x:c>
      <x:c r="P15" s="58" t="n">
        <x:f>MIN(10,MAX(0,2+E15*100))*'Model Inputs'!$B$9+F15*'Model Inputs'!$B$10+G15*'Model Inputs'!$B$11+H15*'Model Inputs'!$B$12+N15*'Model Inputs'!$B$13+O15*'Model Inputs'!$B$14</x:f>
        <x:v>7.243499999999999</x:v>
      </x:c>
      <x:c r="Q15" s="55" t="str">
        <x:f>IF(O15&lt;3,"观察/回撤买入",IF(P15&gt;=7.4,"超配",IF(P15&gt;=6.8,"标配","低配")))</x:f>
        <x:v>标配</x:v>
      </x:c>
      <x:c r="R15" s="60" t="str">
        <x:v>VNM</x:v>
      </x:c>
      <x:c r="S15" s="62" t="str">
        <x:v>M5</x:v>
      </x:c>
      <x:c r="T15" s="62" t="str">
        <x:v>E2</x:v>
      </x:c>
    </x:row>
    <x:row r="16" ht="22" customHeight="1">
      <x:c r="A16" s="50" t="n">
        <x:f>RANK(P16,$P$8:$P$27,0)</x:f>
        <x:v>9</x:v>
      </x:c>
      <x:c r="B16" s="46" t="str">
        <x:v>挪威</x:v>
      </x:c>
      <x:c r="C16" s="38" t="n">
        <x:v>0.013000000000000001</x:v>
      </x:c>
      <x:c r="D16" s="38" t="n">
        <x:v>0.012</x:v>
      </x:c>
      <x:c r="E16" s="52" t="n">
        <x:f>IF(D16="",C16,C16*0.6+D16*0.4)</x:f>
        <x:v>0.0126</x:v>
      </x:c>
      <x:c r="F16" s="48" t="n">
        <x:v>7.5</x:v>
      </x:c>
      <x:c r="G16" s="48" t="n">
        <x:v>10</x:v>
      </x:c>
      <x:c r="H16" s="48" t="n">
        <x:v>7</x:v>
      </x:c>
      <x:c r="I16" s="42" t="n">
        <x:v>14.92</x:v>
      </x:c>
      <x:c r="J16" s="38" t="n">
        <x:v>0.0536</x:v>
      </x:c>
      <x:c r="K16" s="38" t="n">
        <x:v>0.1449</x:v>
      </x:c>
      <x:c r="L16" s="38" t="n">
        <x:v>0.191</x:v>
      </x:c>
      <x:c r="M16" s="38" t="n">
        <x:v>0.2435</x:v>
      </x:c>
      <x:c r="N16" s="54" t="n">
        <x:f>IF(I16="",5,MIN(10,MAX(0,8-(I16-12)/3+J16*50)))</x:f>
        <x:v>9.706666666666667</x:v>
      </x:c>
      <x:c r="O16" s="54" t="n">
        <x:f>MAX(0,10-ABS(K16)*100/15-ABS(M16*100-18)/10)</x:f>
        <x:v>8.399000000000001</x:v>
      </x:c>
      <x:c r="P16" s="58" t="n">
        <x:f>MIN(10,MAX(0,2+E16*100))*'Model Inputs'!$B$9+F16*'Model Inputs'!$B$10+G16*'Model Inputs'!$B$11+H16*'Model Inputs'!$B$12+N16*'Model Inputs'!$B$13+O16*'Model Inputs'!$B$14</x:f>
        <x:v>7.1609</x:v>
      </x:c>
      <x:c r="Q16" s="55" t="str">
        <x:f>IF(O16&lt;3,"观察/回撤买入",IF(P16&gt;=7.4,"超配",IF(P16&gt;=6.8,"标配","低配")))</x:f>
        <x:v>标配</x:v>
      </x:c>
      <x:c r="R16" s="60" t="str">
        <x:v>ENOR</x:v>
      </x:c>
      <x:c r="S16" s="62" t="str">
        <x:v>M9</x:v>
      </x:c>
      <x:c r="T16" s="62" t="str">
        <x:v>E13</x:v>
      </x:c>
    </x:row>
    <x:row r="17" ht="22" customHeight="1">
      <x:c r="A17" s="50" t="n">
        <x:f>RANK(P17,$P$8:$P$27,0)</x:f>
        <x:v>10</x:v>
      </x:c>
      <x:c r="B17" s="46" t="str">
        <x:v>印度尼西亚</x:v>
      </x:c>
      <x:c r="C17" s="38" t="n">
        <x:v>0.05</x:v>
      </x:c>
      <x:c r="D17" s="38" t="n">
        <x:v>0.051</x:v>
      </x:c>
      <x:c r="E17" s="52" t="n">
        <x:f>IF(D17="",C17,C17*0.6+D17*0.4)</x:f>
        <x:v>0.0504</x:v>
      </x:c>
      <x:c r="F17" s="48" t="n">
        <x:v>7.5</x:v>
      </x:c>
      <x:c r="G17" s="48" t="n">
        <x:v>6</x:v>
      </x:c>
      <x:c r="H17" s="48" t="n">
        <x:v>6</x:v>
      </x:c>
      <x:c r="I17" s="42" t="n">
        <x:v>9.8</x:v>
      </x:c>
      <x:c r="J17" s="38" t="n">
        <x:v>0.033</x:v>
      </x:c>
      <x:c r="K17" s="38" t="n">
        <x:v>-0.3853</x:v>
      </x:c>
      <x:c r="L17" s="38" t="n">
        <x:v>-0.3404</x:v>
      </x:c>
      <x:c r="M17" s="38" t="n">
        <x:v>0.3246</x:v>
      </x:c>
      <x:c r="N17" s="54" t="n">
        <x:f>IF(I17="",5,MIN(10,MAX(0,8-(I17-12)/3+J17*50)))</x:f>
        <x:v>10</x:v>
      </x:c>
      <x:c r="O17" s="54" t="n">
        <x:f>MAX(0,10-ABS(K17)*100/15-ABS(M17*100-18)/10)</x:f>
        <x:v>5.985333333333333</x:v>
      </x:c>
      <x:c r="P17" s="58" t="n">
        <x:f>MIN(10,MAX(0,2+E17*100))*'Model Inputs'!$B$9+F17*'Model Inputs'!$B$10+G17*'Model Inputs'!$B$11+H17*'Model Inputs'!$B$12+N17*'Model Inputs'!$B$13+O17*'Model Inputs'!$B$14</x:f>
        <x:v>7.158533333333334</x:v>
      </x:c>
      <x:c r="Q17" s="55" t="str">
        <x:f>IF(O17&lt;3,"观察/回撤买入",IF(P17&gt;=7.4,"超配",IF(P17&gt;=6.8,"标配","低配")))</x:f>
        <x:v>标配</x:v>
      </x:c>
      <x:c r="R17" s="60" t="str">
        <x:v>EIDO</x:v>
      </x:c>
      <x:c r="S17" s="62" t="str">
        <x:v>M1</x:v>
      </x:c>
      <x:c r="T17" s="62" t="str">
        <x:v>E7</x:v>
      </x:c>
    </x:row>
    <x:row r="18" ht="22" customHeight="1">
      <x:c r="A18" s="50" t="n">
        <x:f>RANK(P18,$P$8:$P$27,0)</x:f>
        <x:v>11</x:v>
      </x:c>
      <x:c r="B18" s="46" t="str">
        <x:v>瑞士</x:v>
      </x:c>
      <x:c r="C18" s="38" t="n">
        <x:v>0.011000000000000001</x:v>
      </x:c>
      <x:c r="D18" s="38" t="n">
        <x:v>0.015</x:v>
      </x:c>
      <x:c r="E18" s="52" t="n">
        <x:f>IF(D18="",C18,C18*0.6+D18*0.4)</x:f>
        <x:v>0.0126</x:v>
      </x:c>
      <x:c r="F18" s="48" t="n">
        <x:v>8.5</x:v>
      </x:c>
      <x:c r="G18" s="48" t="n">
        <x:v>10</x:v>
      </x:c>
      <x:c r="H18" s="48" t="n">
        <x:v>9</x:v>
      </x:c>
      <x:c r="I18" s="42" t="n">
        <x:v>24.3</x:v>
      </x:c>
      <x:c r="J18" s="38" t="n">
        <x:v>0.0176</x:v>
      </x:c>
      <x:c r="K18" s="38" t="n">
        <x:v>0.067</x:v>
      </x:c>
      <x:c r="L18" s="38" t="n">
        <x:v>0.1653</x:v>
      </x:c>
      <x:c r="M18" s="38" t="n">
        <x:v>0.1494</x:v>
      </x:c>
      <x:c r="N18" s="54" t="n">
        <x:f>IF(I18="",5,MIN(10,MAX(0,8-(I18-12)/3+J18*50)))</x:f>
        <x:v>4.779999999999999</x:v>
      </x:c>
      <x:c r="O18" s="54" t="n">
        <x:f>MAX(0,10-ABS(K18)*100/15-ABS(M18*100-18)/10)</x:f>
        <x:v>9.247333333333334</x:v>
      </x:c>
      <x:c r="P18" s="58" t="n">
        <x:f>MIN(10,MAX(0,2+E18*100))*'Model Inputs'!$B$9+F18*'Model Inputs'!$B$10+G18*'Model Inputs'!$B$11+H18*'Model Inputs'!$B$12+N18*'Model Inputs'!$B$13+O18*'Model Inputs'!$B$14</x:f>
        <x:v>7.006733333333333</x:v>
      </x:c>
      <x:c r="Q18" s="55" t="str">
        <x:f>IF(O18&lt;3,"观察/回撤买入",IF(P18&gt;=7.4,"超配",IF(P18&gt;=6.8,"标配","低配")))</x:f>
        <x:v>标配</x:v>
      </x:c>
      <x:c r="R18" s="60" t="str">
        <x:v>EWL</x:v>
      </x:c>
      <x:c r="S18" s="62" t="str">
        <x:v>M10</x:v>
      </x:c>
      <x:c r="T18" s="62" t="str">
        <x:v>E17</x:v>
      </x:c>
    </x:row>
    <x:row r="19" ht="22" customHeight="1">
      <x:c r="A19" s="50" t="n">
        <x:f>RANK(P19,$P$8:$P$27,0)</x:f>
        <x:v>12</x:v>
      </x:c>
      <x:c r="B19" s="46" t="str">
        <x:v>波兰</x:v>
      </x:c>
      <x:c r="C19" s="38" t="n">
        <x:v>0.034</x:v>
      </x:c>
      <x:c r="D19" s="38" t="n">
        <x:v>0.024</x:v>
      </x:c>
      <x:c r="E19" s="52" t="n">
        <x:f>IF(D19="",C19,C19*0.6+D19*0.4)</x:f>
        <x:v>0.030000000000000002</x:v>
      </x:c>
      <x:c r="F19" s="48" t="n">
        <x:v>7.5</x:v>
      </x:c>
      <x:c r="G19" s="48" t="n">
        <x:v>6.5</x:v>
      </x:c>
      <x:c r="H19" s="48" t="n">
        <x:v>7</x:v>
      </x:c>
      <x:c r="I19" s="42" t="n">
        <x:v>15.54</x:v>
      </x:c>
      <x:c r="J19" s="38" t="n">
        <x:v>0.0361</x:v>
      </x:c>
      <x:c r="K19" s="38" t="n">
        <x:v>0.1105</x:v>
      </x:c>
      <x:c r="L19" s="38" t="n">
        <x:v>0.2501</x:v>
      </x:c>
      <x:c r="M19" s="38" t="n">
        <x:v>0.2066</x:v>
      </x:c>
      <x:c r="N19" s="54" t="n">
        <x:f>IF(I19="",5,MIN(10,MAX(0,8-(I19-12)/3+J19*50)))</x:f>
        <x:v>8.625</x:v>
      </x:c>
      <x:c r="O19" s="54" t="n">
        <x:f>MAX(0,10-ABS(K19)*100/15-ABS(M19*100-18)/10)</x:f>
        <x:v>8.997333333333334</x:v>
      </x:c>
      <x:c r="P19" s="58" t="n">
        <x:f>MIN(10,MAX(0,2+E19*100))*'Model Inputs'!$B$9+F19*'Model Inputs'!$B$10+G19*'Model Inputs'!$B$11+H19*'Model Inputs'!$B$12+N19*'Model Inputs'!$B$13+O19*'Model Inputs'!$B$14</x:f>
        <x:v>6.968483333333334</x:v>
      </x:c>
      <x:c r="Q19" s="55" t="str">
        <x:f>IF(O19&lt;3,"观察/回撤买入",IF(P19&gt;=7.4,"超配",IF(P19&gt;=6.8,"标配","低配")))</x:f>
        <x:v>标配</x:v>
      </x:c>
      <x:c r="R19" s="60" t="str">
        <x:v>EPOL</x:v>
      </x:c>
      <x:c r="S19" s="62" t="str">
        <x:v>M1</x:v>
      </x:c>
      <x:c r="T19" s="62" t="str">
        <x:v>E10</x:v>
      </x:c>
    </x:row>
    <x:row r="20" ht="22" customHeight="1">
      <x:c r="A20" s="50" t="n">
        <x:f>RANK(P20,$P$8:$P$27,0)</x:f>
        <x:v>13</x:v>
      </x:c>
      <x:c r="B20" s="46" t="str">
        <x:v>巴西</x:v>
      </x:c>
      <x:c r="C20" s="38" t="n">
        <x:v>0.024</x:v>
      </x:c>
      <x:c r="D20" s="38" t="n">
        <x:v>0.022000000000000002</x:v>
      </x:c>
      <x:c r="E20" s="52" t="n">
        <x:f>IF(D20="",C20,C20*0.6+D20*0.4)</x:f>
        <x:v>0.0232</x:v>
      </x:c>
      <x:c r="F20" s="48" t="n">
        <x:v>7.5</x:v>
      </x:c>
      <x:c r="G20" s="48" t="n">
        <x:v>5.5</x:v>
      </x:c>
      <x:c r="H20" s="48" t="n">
        <x:v>7.5</x:v>
      </x:c>
      <x:c r="I20" s="42" t="n">
        <x:v>10.7</x:v>
      </x:c>
      <x:c r="J20" s="38" t="n">
        <x:v>0.0405</x:v>
      </x:c>
      <x:c r="K20" s="38" t="n">
        <x:v>0.0944</x:v>
      </x:c>
      <x:c r="L20" s="38" t="n">
        <x:v>0.2547</x:v>
      </x:c>
      <x:c r="M20" s="38" t="n">
        <x:v>0.2133</x:v>
      </x:c>
      <x:c r="N20" s="54" t="n">
        <x:f>IF(I20="",5,MIN(10,MAX(0,8-(I20-12)/3+J20*50)))</x:f>
        <x:v>10</x:v>
      </x:c>
      <x:c r="O20" s="54" t="n">
        <x:f>MAX(0,10-ABS(K20)*100/15-ABS(M20*100-18)/10)</x:f>
        <x:v>9.037666666666667</x:v>
      </x:c>
      <x:c r="P20" s="58" t="n">
        <x:f>MIN(10,MAX(0,2+E20*100))*'Model Inputs'!$B$9+F20*'Model Inputs'!$B$10+G20*'Model Inputs'!$B$11+H20*'Model Inputs'!$B$12+N20*'Model Inputs'!$B$13+O20*'Model Inputs'!$B$14</x:f>
        <x:v>6.933766666666667</x:v>
      </x:c>
      <x:c r="Q20" s="55" t="str">
        <x:f>IF(O20&lt;3,"观察/回撤买入",IF(P20&gt;=7.4,"超配",IF(P20&gt;=6.8,"标配","低配")))</x:f>
        <x:v>标配</x:v>
      </x:c>
      <x:c r="R20" s="60" t="str">
        <x:v>EWZ</x:v>
      </x:c>
      <x:c r="S20" s="62" t="str">
        <x:v>M1</x:v>
      </x:c>
      <x:c r="T20" s="62" t="str">
        <x:v>E16</x:v>
      </x:c>
    </x:row>
    <x:row r="21" ht="22" customHeight="1">
      <x:c r="A21" s="50" t="n">
        <x:f>RANK(P21,$P$8:$P$27,0)</x:f>
        <x:v>14</x:v>
      </x:c>
      <x:c r="B21" s="46" t="str">
        <x:v>澳大利亚</x:v>
      </x:c>
      <x:c r="C21" s="38" t="n">
        <x:v>0.019</x:v>
      </x:c>
      <x:c r="D21" s="38" t="n">
        <x:v>0.018000000000000002</x:v>
      </x:c>
      <x:c r="E21" s="52" t="n">
        <x:f>IF(D21="",C21,C21*0.6+D21*0.4)</x:f>
        <x:v>0.0186</x:v>
      </x:c>
      <x:c r="F21" s="48" t="n">
        <x:v>7.5</x:v>
      </x:c>
      <x:c r="G21" s="48" t="n">
        <x:v>8</x:v>
      </x:c>
      <x:c r="H21" s="48" t="n">
        <x:v>9</x:v>
      </x:c>
      <x:c r="I21" s="42" t="n">
        <x:v>21.39</x:v>
      </x:c>
      <x:c r="J21" s="38" t="n">
        <x:v>0.0298</x:v>
      </x:c>
      <x:c r="K21" s="38" t="n">
        <x:v>0.0886</x:v>
      </x:c>
      <x:c r="L21" s="38" t="n">
        <x:v>0.1042</x:v>
      </x:c>
      <x:c r="M21" s="38" t="n">
        <x:v>0.1579</x:v>
      </x:c>
      <x:c r="N21" s="54" t="n">
        <x:f>IF(I21="",5,MIN(10,MAX(0,8-(I21-12)/3+J21*50)))</x:f>
        <x:v>6.359999999999999</x:v>
      </x:c>
      <x:c r="O21" s="54" t="n">
        <x:f>MAX(0,10-ABS(K21)*100/15-ABS(M21*100-18)/10)</x:f>
        <x:v>9.188333333333333</x:v>
      </x:c>
      <x:c r="P21" s="58" t="n">
        <x:f>MIN(10,MAX(0,2+E21*100))*'Model Inputs'!$B$9+F21*'Model Inputs'!$B$10+G21*'Model Inputs'!$B$11+H21*'Model Inputs'!$B$12+N21*'Model Inputs'!$B$13+O21*'Model Inputs'!$B$14</x:f>
        <x:v>6.887833333333333</x:v>
      </x:c>
      <x:c r="Q21" s="55" t="str">
        <x:f>IF(O21&lt;3,"观察/回撤买入",IF(P21&gt;=7.4,"超配",IF(P21&gt;=6.8,"标配","低配")))</x:f>
        <x:v>标配</x:v>
      </x:c>
      <x:c r="R21" s="60" t="str">
        <x:v>EWA</x:v>
      </x:c>
      <x:c r="S21" s="62" t="str">
        <x:v>M11</x:v>
      </x:c>
      <x:c r="T21" s="62" t="str">
        <x:v>E18</x:v>
      </x:c>
    </x:row>
    <x:row r="22" ht="22" customHeight="1">
      <x:c r="A22" s="50" t="n">
        <x:f>RANK(P22,$P$8:$P$27,0)</x:f>
        <x:v>15</x:v>
      </x:c>
      <x:c r="B22" s="46" t="str">
        <x:v>美国</x:v>
      </x:c>
      <x:c r="C22" s="38" t="n">
        <x:v>0.023</x:v>
      </x:c>
      <x:c r="D22" s="38" t="n">
        <x:v>0.022000000000000002</x:v>
      </x:c>
      <x:c r="E22" s="52" t="n">
        <x:f>IF(D22="",C22,C22*0.6+D22*0.4)</x:f>
        <x:v>0.022600000000000002</x:v>
      </x:c>
      <x:c r="F22" s="48" t="n">
        <x:v>10</x:v>
      </x:c>
      <x:c r="G22" s="48" t="n">
        <x:v>6</x:v>
      </x:c>
      <x:c r="H22" s="48" t="n">
        <x:v>10</x:v>
      </x:c>
      <x:c r="I22" s="42" t="n">
        <x:v>27.4</x:v>
      </x:c>
      <x:c r="J22" s="38" t="n">
        <x:v>0.0107</x:v>
      </x:c>
      <x:c r="K22" s="38" t="n">
        <x:v>0.1107</x:v>
      </x:c>
      <x:c r="L22" s="38" t="n">
        <x:v>0.2316</x:v>
      </x:c>
      <x:c r="M22" s="38" t="n">
        <x:v>0.1516</x:v>
      </x:c>
      <x:c r="N22" s="54" t="n">
        <x:f>IF(I22="",5,MIN(10,MAX(0,8-(I22-12)/3+J22*50)))</x:f>
        <x:v>3.4016666666666673</x:v>
      </x:c>
      <x:c r="O22" s="54" t="n">
        <x:f>MAX(0,10-ABS(K22)*100/15-ABS(M22*100-18)/10)</x:f>
        <x:v>8.978000000000002</x:v>
      </x:c>
      <x:c r="P22" s="58" t="n">
        <x:f>MIN(10,MAX(0,2+E22*100))*'Model Inputs'!$B$9+F22*'Model Inputs'!$B$10+G22*'Model Inputs'!$B$11+H22*'Model Inputs'!$B$12+N22*'Model Inputs'!$B$13+O22*'Model Inputs'!$B$14</x:f>
        <x:v>6.87305</x:v>
      </x:c>
      <x:c r="Q22" s="55" t="str">
        <x:f>IF(O22&lt;3,"观察/回撤买入",IF(P22&gt;=7.4,"超配",IF(P22&gt;=6.8,"标配","低配")))</x:f>
        <x:v>标配</x:v>
      </x:c>
      <x:c r="R22" s="60" t="str">
        <x:v>VTI</x:v>
      </x:c>
      <x:c r="S22" s="62" t="str">
        <x:v>M1</x:v>
      </x:c>
      <x:c r="T22" s="62" t="str">
        <x:v>E6</x:v>
      </x:c>
    </x:row>
    <x:row r="23" ht="22" customHeight="1">
      <x:c r="A23" s="50" t="n">
        <x:f>RANK(P23,$P$8:$P$27,0)</x:f>
        <x:v>16</x:v>
      </x:c>
      <x:c r="B23" s="46" t="str">
        <x:v>荷兰</x:v>
      </x:c>
      <x:c r="C23" s="38" t="n">
        <x:v>0.01</x:v>
      </x:c>
      <x:c r="D23" s="38" t="n">
        <x:v>0.013000000000000001</x:v>
      </x:c>
      <x:c r="E23" s="52" t="n">
        <x:f>IF(D23="",C23,C23*0.6+D23*0.4)</x:f>
        <x:v>0.011200000000000002</x:v>
      </x:c>
      <x:c r="F23" s="48" t="n">
        <x:v>9</x:v>
      </x:c>
      <x:c r="G23" s="48" t="n">
        <x:v>8</x:v>
      </x:c>
      <x:c r="H23" s="48" t="n">
        <x:v>8</x:v>
      </x:c>
      <x:c r="I23" s="42" t="n">
        <x:v>20.26</x:v>
      </x:c>
      <x:c r="J23" s="38" t="n">
        <x:v>0.0423</x:v>
      </x:c>
      <x:c r="K23" s="38" t="n">
        <x:v>0.2428</x:v>
      </x:c>
      <x:c r="L23" s="38" t="n">
        <x:v>0.351</x:v>
      </x:c>
      <x:c r="M23" s="38" t="n">
        <x:v>0.2547</x:v>
      </x:c>
      <x:c r="N23" s="54" t="n">
        <x:f>IF(I23="",5,MIN(10,MAX(0,8-(I23-12)/3+J23*50)))</x:f>
        <x:v>7.361666666666666</x:v>
      </x:c>
      <x:c r="O23" s="54" t="n">
        <x:f>MAX(0,10-ABS(K23)*100/15-ABS(M23*100-18)/10)</x:f>
        <x:v>7.634333333333334</x:v>
      </x:c>
      <x:c r="P23" s="58" t="n">
        <x:f>MIN(10,MAX(0,2+E23*100))*'Model Inputs'!$B$9+F23*'Model Inputs'!$B$10+G23*'Model Inputs'!$B$11+H23*'Model Inputs'!$B$12+N23*'Model Inputs'!$B$13+O23*'Model Inputs'!$B$14</x:f>
        <x:v>6.847683333333334</x:v>
      </x:c>
      <x:c r="Q23" s="55" t="str">
        <x:f>IF(O23&lt;3,"观察/回撤买入",IF(P23&gt;=7.4,"超配",IF(P23&gt;=6.8,"标配","低配")))</x:f>
        <x:v>标配</x:v>
      </x:c>
      <x:c r="R23" s="60" t="str">
        <x:v>EWN</x:v>
      </x:c>
      <x:c r="S23" s="62" t="str">
        <x:v>M1</x:v>
      </x:c>
      <x:c r="T23" s="62" t="str">
        <x:v>E14</x:v>
      </x:c>
    </x:row>
    <x:row r="24" ht="22" customHeight="1">
      <x:c r="A24" s="50" t="n">
        <x:f>RANK(P24,$P$8:$P$27,0)</x:f>
        <x:v>17</x:v>
      </x:c>
      <x:c r="B24" s="46" t="str">
        <x:v>西班牙</x:v>
      </x:c>
      <x:c r="C24" s="38" t="n">
        <x:v>0.021</x:v>
      </x:c>
      <x:c r="D24" s="38" t="n">
        <x:v>0.018000000000000002</x:v>
      </x:c>
      <x:c r="E24" s="52" t="n">
        <x:f>IF(D24="",C24,C24*0.6+D24*0.4)</x:f>
        <x:v>0.0198</x:v>
      </x:c>
      <x:c r="F24" s="48" t="n">
        <x:v>7</x:v>
      </x:c>
      <x:c r="G24" s="48" t="n">
        <x:v>7</x:v>
      </x:c>
      <x:c r="H24" s="48" t="n">
        <x:v>8</x:v>
      </x:c>
      <x:c r="I24" s="42" t="n">
        <x:v>15.68</x:v>
      </x:c>
      <x:c r="J24" s="38" t="n">
        <x:v>0.0282</x:v>
      </x:c>
      <x:c r="K24" s="38" t="n">
        <x:v>0.1213</x:v>
      </x:c>
      <x:c r="L24" s="38" t="n">
        <x:v>0.3856</x:v>
      </x:c>
      <x:c r="M24" s="38" t="n">
        <x:v>0.1751</x:v>
      </x:c>
      <x:c r="N24" s="54" t="n">
        <x:f>IF(I24="",5,MIN(10,MAX(0,8-(I24-12)/3+J24*50)))</x:f>
        <x:v>8.183333333333334</x:v>
      </x:c>
      <x:c r="O24" s="54" t="n">
        <x:f>MAX(0,10-ABS(K24)*100/15-ABS(M24*100-18)/10)</x:f>
        <x:v>9.142333333333333</x:v>
      </x:c>
      <x:c r="P24" s="58" t="n">
        <x:f>MIN(10,MAX(0,2+E24*100))*'Model Inputs'!$B$9+F24*'Model Inputs'!$B$10+G24*'Model Inputs'!$B$11+H24*'Model Inputs'!$B$12+N24*'Model Inputs'!$B$13+O24*'Model Inputs'!$B$14</x:f>
        <x:v>6.786733333333334</x:v>
      </x:c>
      <x:c r="Q24" s="55" t="str">
        <x:f>IF(O24&lt;3,"观察/回撤买入",IF(P24&gt;=7.4,"超配",IF(P24&gt;=6.8,"标配","低配")))</x:f>
        <x:v>低配</x:v>
      </x:c>
      <x:c r="R24" s="60" t="str">
        <x:v>EWP</x:v>
      </x:c>
      <x:c r="S24" s="62" t="str">
        <x:v>M1</x:v>
      </x:c>
      <x:c r="T24" s="62" t="str">
        <x:v>E15</x:v>
      </x:c>
    </x:row>
    <x:row r="25" ht="22" customHeight="1">
      <x:c r="A25" s="50" t="n">
        <x:f>RANK(P25,$P$8:$P$27,0)</x:f>
        <x:v>18</x:v>
      </x:c>
      <x:c r="B25" s="46" t="str">
        <x:v>日本</x:v>
      </x:c>
      <x:c r="C25" s="38" t="n">
        <x:v>0.006</x:v>
      </x:c>
      <x:c r="D25" s="38" t="n">
        <x:v>0.006999999999999999</x:v>
      </x:c>
      <x:c r="E25" s="52" t="n">
        <x:f>IF(D25="",C25,C25*0.6+D25*0.4)</x:f>
        <x:v>0.0063999999999999994</x:v>
      </x:c>
      <x:c r="F25" s="48" t="n">
        <x:v>8.5</x:v>
      </x:c>
      <x:c r="G25" s="48" t="n">
        <x:v>6.5</x:v>
      </x:c>
      <x:c r="H25" s="48" t="n">
        <x:v>10</x:v>
      </x:c>
      <x:c r="I25" s="42" t="n">
        <x:v>18.91</x:v>
      </x:c>
      <x:c r="J25" s="38" t="n">
        <x:v>0.0379</x:v>
      </x:c>
      <x:c r="K25" s="38" t="n">
        <x:v>0.1665</x:v>
      </x:c>
      <x:c r="L25" s="38" t="n">
        <x:v>0.2989</x:v>
      </x:c>
      <x:c r="M25" s="38" t="n">
        <x:v>0.2675</x:v>
      </x:c>
      <x:c r="N25" s="54" t="n">
        <x:f>IF(I25="",5,MIN(10,MAX(0,8-(I25-12)/3+J25*50)))</x:f>
        <x:v>7.591666666666668</x:v>
      </x:c>
      <x:c r="O25" s="54" t="n">
        <x:f>MAX(0,10-ABS(K25)*100/15-ABS(M25*100-18)/10)</x:f>
        <x:v>8.015</x:v>
      </x:c>
      <x:c r="P25" s="58" t="n">
        <x:f>MIN(10,MAX(0,2+E25*100))*'Model Inputs'!$B$9+F25*'Model Inputs'!$B$10+G25*'Model Inputs'!$B$11+H25*'Model Inputs'!$B$12+N25*'Model Inputs'!$B$13+O25*'Model Inputs'!$B$14</x:f>
        <x:v>6.775250000000001</x:v>
      </x:c>
      <x:c r="Q25" s="55" t="str">
        <x:f>IF(O25&lt;3,"观察/回撤买入",IF(P25&gt;=7.4,"超配",IF(P25&gt;=6.8,"标配","低配")))</x:f>
        <x:v>低配</x:v>
      </x:c>
      <x:c r="R25" s="60" t="str">
        <x:v>EWJ</x:v>
      </x:c>
      <x:c r="S25" s="62" t="str">
        <x:v>M1</x:v>
      </x:c>
      <x:c r="T25" s="62" t="str">
        <x:v>E19</x:v>
      </x:c>
    </x:row>
    <x:row r="26" ht="22" customHeight="1">
      <x:c r="A26" s="50" t="n">
        <x:f>RANK(P26,$P$8:$P$27,0)</x:f>
        <x:v>19</x:v>
      </x:c>
      <x:c r="B26" s="46" t="str">
        <x:v>墨西哥</x:v>
      </x:c>
      <x:c r="C26" s="38" t="n">
        <x:v>0.012</x:v>
      </x:c>
      <x:c r="D26" s="38" t="n">
        <x:v>0.019</x:v>
      </x:c>
      <x:c r="E26" s="52" t="n">
        <x:f>IF(D26="",C26,C26*0.6+D26*0.4)</x:f>
        <x:v>0.0148</x:v>
      </x:c>
      <x:c r="F26" s="48" t="n">
        <x:v>7.5</x:v>
      </x:c>
      <x:c r="G26" s="48" t="n">
        <x:v>6</x:v>
      </x:c>
      <x:c r="H26" s="48" t="n">
        <x:v>8</x:v>
      </x:c>
      <x:c r="I26" s="42" t="n">
        <x:v>13.6</x:v>
      </x:c>
      <x:c r="J26" s="38" t="n">
        <x:v>0.0329</x:v>
      </x:c>
      <x:c r="K26" s="38" t="n">
        <x:v>0.1018</x:v>
      </x:c>
      <x:c r="L26" s="38" t="n">
        <x:v>0.285</x:v>
      </x:c>
      <x:c r="M26" s="38" t="n">
        <x:v>0.1993</x:v>
      </x:c>
      <x:c r="N26" s="54" t="n">
        <x:f>IF(I26="",5,MIN(10,MAX(0,8-(I26-12)/3+J26*50)))</x:f>
        <x:v>9.111666666666666</x:v>
      </x:c>
      <x:c r="O26" s="54" t="n">
        <x:f>MAX(0,10-ABS(K26)*100/15-ABS(M26*100-18)/10)</x:f>
        <x:v>9.128333333333334</x:v>
      </x:c>
      <x:c r="P26" s="58" t="n">
        <x:f>MIN(10,MAX(0,2+E26*100))*'Model Inputs'!$B$9+F26*'Model Inputs'!$B$10+G26*'Model Inputs'!$B$11+H26*'Model Inputs'!$B$12+N26*'Model Inputs'!$B$13+O26*'Model Inputs'!$B$14</x:f>
        <x:v>6.749583333333333</x:v>
      </x:c>
      <x:c r="Q26" s="55" t="str">
        <x:f>IF(O26&lt;3,"观察/回撤买入",IF(P26&gt;=7.4,"超配",IF(P26&gt;=6.8,"标配","低配")))</x:f>
        <x:v>低配</x:v>
      </x:c>
      <x:c r="R26" s="60" t="str">
        <x:v>EWW</x:v>
      </x:c>
      <x:c r="S26" s="62" t="str">
        <x:v>M1</x:v>
      </x:c>
      <x:c r="T26" s="62" t="str">
        <x:v>E20</x:v>
      </x:c>
    </x:row>
    <x:row r="27" ht="22" customHeight="1">
      <x:c r="A27" s="51" t="n">
        <x:f>RANK(P27,$P$8:$P$27,0)</x:f>
        <x:v>20</x:v>
      </x:c>
      <x:c r="B27" s="47" t="str">
        <x:v>韩国</x:v>
      </x:c>
      <x:c r="C27" s="39" t="n">
        <x:v>0.026000000000000002</x:v>
      </x:c>
      <x:c r="D27" s="39" t="n">
        <x:v>0.025</x:v>
      </x:c>
      <x:c r="E27" s="53" t="n">
        <x:f>IF(D27="",C27,C27*0.6+D27*0.4)</x:f>
        <x:v>0.025600000000000005</x:v>
      </x:c>
      <x:c r="F27" s="49" t="n">
        <x:v>9.5</x:v>
      </x:c>
      <x:c r="G27" s="49" t="n">
        <x:v>8</x:v>
      </x:c>
      <x:c r="H27" s="49" t="n">
        <x:v>9</x:v>
      </x:c>
      <x:c r="I27" s="43" t="n">
        <x:v>22.83</x:v>
      </x:c>
      <x:c r="J27" s="39" t="n">
        <x:v>0.0117</x:v>
      </x:c>
      <x:c r="K27" s="39" t="n">
        <x:v>1.058</x:v>
      </x:c>
      <x:c r="L27" s="39" t="n">
        <x:v>1.8851</x:v>
      </x:c>
      <x:c r="M27" s="39" t="n">
        <x:v>0.7964</x:v>
      </x:c>
      <x:c r="N27" s="56" t="n">
        <x:f>IF(I27="",5,MIN(10,MAX(0,8-(I27-12)/3+J27*50)))</x:f>
        <x:v>4.9750000000000005</x:v>
      </x:c>
      <x:c r="O27" s="56" t="n">
        <x:f>MAX(0,10-ABS(K27)*100/15-ABS(M27*100-18)/10)</x:f>
        <x:v>0</x:v>
      </x:c>
      <x:c r="P27" s="59" t="n">
        <x:f>MIN(10,MAX(0,2+E27*100))*'Model Inputs'!$B$9+F27*'Model Inputs'!$B$10+G27*'Model Inputs'!$B$11+H27*'Model Inputs'!$B$12+N27*'Model Inputs'!$B$13+O27*'Model Inputs'!$B$14</x:f>
        <x:v>6.33625</x:v>
      </x:c>
      <x:c r="Q27" s="57" t="str">
        <x:f>IF(O27&lt;3,"观察/回撤买入",IF(P27&gt;=7.4,"超配",IF(P27&gt;=6.8,"标配","低配")))</x:f>
        <x:v>观察/回撤买入</x:v>
      </x:c>
      <x:c r="R27" s="61" t="str">
        <x:v>EWY</x:v>
      </x:c>
      <x:c r="S27" s="63" t="str">
        <x:v>M1</x:v>
      </x:c>
      <x:c r="T27" s="63" t="str">
        <x:v>E4</x:v>
      </x:c>
    </x:row>
  </x:sheetData>
  <x:mergeCells>
    <x:mergeCell ref="A1:T1"/>
    <x:mergeCell ref="A2:T2"/>
    <x:mergeCell ref="B4:T4"/>
    <x:mergeCell ref="B5:T5"/>
    <x:mergeCell ref="B6:T6"/>
  </x:mergeCells>
  <x:conditionalFormatting sqref="P8:P27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K8:K27">
    <x:cfRule type="dataBar" priority="2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{95D4E0D3-8430-9A11-7734-1CC149680592}</x14:id>
        </x:ext>
      </x:extLst>
    </x:cfRule>
  </x:conditionalFormatting>
  <x:conditionalFormatting sqref="M8:M27">
    <x:cfRule type="colorScale" priority="3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conditionalFormatting sqref="Q8:Q27">
    <x:cfRule type="expression" dxfId="0" priority="4">
      <x:formula>Q8="超配"</x:formula>
    </x:cfRule>
    <x:cfRule type="expression" dxfId="1" priority="5">
      <x:formula>OR(Q8="低配",Q8="观察/回撤买入")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5D4E0D3-8430-9A11-7734-1CC149680592}">
            <x14:dataBar gradient="1">
              <x14:cfvo type="min"/>
              <x14:cfvo type="max"/>
              <x14:fillColor rgb="FF4472C4"/>
            </x14:dataBar>
          </x14:cfRule>
          <xm:sqref>K8:K27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8" hidden="0" customWidth="1"/>
    <x:col min="4" max="4" width="38" hidden="0" customWidth="1"/>
    <x:col min="5" max="5" width="36" hidden="0" customWidth="1"/>
    <x:col min="6" max="6" width="10" hidden="0" customWidth="1"/>
    <x:col min="7" max="7" width="32" hidden="0" customWidth="1"/>
    <x:col min="8" max="8" width="22" hidden="0" customWidth="1"/>
    <x:col min="9" max="9" width="42" hidden="0" customWidth="1"/>
  </x:cols>
  <x:sheetData>
    <x:row r="1" ht="34" customHeight="1">
      <x:c r="A1" s="97" t="str">
        <x:v>20国产业链、催化剂与标的映射</x:v>
      </x:c>
    </x:row>
    <x:row r="2" ht="30" customHeight="1">
      <x:c r="A2" s="8" t="str">
        <x:v>ETF优先用于国家暴露；个股只作为卫星增强。个股代码用于研究清单，不代表无条件买入建议。</x:v>
      </x:c>
    </x:row>
    <x:row r="4" ht="28" customHeight="1">
      <x:c r="A4" s="20" t="str">
        <x:v>模型排名</x:v>
      </x:c>
      <x:c r="B4" s="21" t="str">
        <x:v>国家/地区</x:v>
      </x:c>
      <x:c r="C4" s="21" t="str">
        <x:v>核心产业</x:v>
      </x:c>
      <x:c r="D4" s="21" t="str">
        <x:v>未来2-3年催化剂</x:v>
      </x:c>
      <x:c r="E4" s="21" t="str">
        <x:v>主要风险</x:v>
      </x:c>
      <x:c r="F4" s="21" t="str">
        <x:v>宽基ETF</x:v>
      </x:c>
      <x:c r="G4" s="21" t="str">
        <x:v>个股研究清单</x:v>
      </x:c>
      <x:c r="H4" s="21" t="str">
        <x:v>模型观点</x:v>
      </x:c>
      <x:c r="I4" s="22" t="str">
        <x:v>量化执行条件</x:v>
      </x:c>
    </x:row>
    <x:row r="5" ht="58" customHeight="1">
      <x:c r="A5" s="66" t="n">
        <x:v>1</x:v>
      </x:c>
      <x:c r="B5" s="66" t="str">
        <x:v>新加坡</x:v>
      </x:c>
      <x:c r="C5" s="64" t="str">
        <x:v>金融、港口物流、数据中心、国防科技、REIT</x:v>
      </x:c>
      <x:c r="D5" s="64" t="str">
        <x:v>MTI 2026增速区间2%-4%；区域资金与供应链枢纽</x:v>
      </x:c>
      <x:c r="E5" s="64" t="str">
        <x:v>地产/银行集中、外需依赖、能源输入成本</x:v>
      </x:c>
      <x:c r="F5" s="68" t="str">
        <x:v>EWS</x:v>
      </x:c>
      <x:c r="G5" s="64" t="str">
        <x:v>D05.SI DBS；S63.SI ST Engineering；BN4.SI Keppel</x:v>
      </x:c>
      <x:c r="H5" s="64" t="str">
        <x:v>超配</x:v>
      </x:c>
      <x:c r="I5" s="64" t="str">
        <x:v>股息率≥3.5%、P/E≤19倍可作防守核心；仓位4%</x:v>
      </x:c>
    </x:row>
    <x:row r="6" ht="58" customHeight="1">
      <x:c r="A6" s="66" t="n">
        <x:v>2</x:v>
      </x:c>
      <x:c r="B6" s="66" t="str">
        <x:v>马来西亚</x:v>
      </x:c>
      <x:c r="C6" s="64" t="str">
        <x:v>数据中心、电网、半导体封测、金融、棕榈油</x:v>
      </x:c>
      <x:c r="D6" s="64" t="str">
        <x:v>已签数据中心项目约5.9GW；AI基础设施与电网投资扩张</x:v>
      </x:c>
      <x:c r="E6" s="64" t="str">
        <x:v>电力/水资源瓶颈、项目兑现、商品与外资流波动</x:v>
      </x:c>
      <x:c r="F6" s="68" t="str">
        <x:v>EWM</x:v>
      </x:c>
      <x:c r="G6" s="64" t="str">
        <x:v>5347.KL Tenaga；6742.KL YTL Power；0166.KL Inari</x:v>
      </x:c>
      <x:c r="H6" s="64" t="str">
        <x:v>超配</x:v>
      </x:c>
      <x:c r="I6" s="64" t="str">
        <x:v>P/E≤16倍、股息率≥3%维持超配；数据中心组合仓位≤3.25%</x:v>
      </x:c>
    </x:row>
    <x:row r="7" ht="58" customHeight="1">
      <x:c r="A7" s="66" t="n">
        <x:v>3</x:v>
      </x:c>
      <x:c r="B7" s="66" t="str">
        <x:v>印度</x:v>
      </x:c>
      <x:c r="C7" s="64" t="str">
        <x:v>金融、数字基础设施、工业资本品、医药、消费</x:v>
      </x:c>
      <x:c r="D7" s="64" t="str">
        <x:v>高潜在增速、信贷深化、制造业本土化、公共资本开支</x:v>
      </x:c>
      <x:c r="E7" s="64" t="str">
        <x:v>估值仍高、财政与油价敏感、监管及外资流波动</x:v>
      </x:c>
      <x:c r="F7" s="68" t="str">
        <x:v>INDA</x:v>
      </x:c>
      <x:c r="G7" s="64" t="str">
        <x:v>HDB；IBN；INFY</x:v>
      </x:c>
      <x:c r="H7" s="64" t="str">
        <x:v>超配</x:v>
      </x:c>
      <x:c r="I7" s="64" t="str">
        <x:v>P/E≤23倍可按40/30/30建仓；若油价&gt;100美元则减1个百分点</x:v>
      </x:c>
    </x:row>
    <x:row r="8" ht="58" customHeight="1">
      <x:c r="A8" s="66" t="n">
        <x:v>4</x:v>
      </x:c>
      <x:c r="B8" s="66" t="str">
        <x:v>中国</x:v>
      </x:c>
      <x:c r="C8" s="64" t="str">
        <x:v>AI应用、云、电动车/电池、电网、工业自动化</x:v>
      </x:c>
      <x:c r="D8" s="64" t="str">
        <x:v>增长韧性、产业链完整、估值低于多数科技市场</x:v>
      </x:c>
      <x:c r="E8" s="64" t="str">
        <x:v>地产/需求、政策与地缘、ADR/境外上市结构风险</x:v>
      </x:c>
      <x:c r="F8" s="68" t="str">
        <x:v>MCHI</x:v>
      </x:c>
      <x:c r="G8" s="64" t="str">
        <x:v>0700.HK 腾讯；9988.HK 阿里巴巴；1211.HK 比亚迪</x:v>
      </x:c>
      <x:c r="H8" s="64" t="str">
        <x:v>超配</x:v>
      </x:c>
      <x:c r="I8" s="64" t="str">
        <x:v>P/E&lt;14倍可超配；若盈利预期连续2季下修则减2个百分点</x:v>
      </x:c>
    </x:row>
    <x:row r="9" ht="58" customHeight="1">
      <x:c r="A9" s="66" t="n">
        <x:v>5</x:v>
      </x:c>
      <x:c r="B9" s="66" t="str">
        <x:v>丹麦</x:v>
      </x:c>
      <x:c r="C9" s="64" t="str">
        <x:v>创新药、航运物流、风电、工业自动化</x:v>
      </x:c>
      <x:c r="D9" s="64" t="str">
        <x:v>医药出口与高附加值制造；财政和制度韧性</x:v>
      </x:c>
      <x:c r="E9" s="64" t="str">
        <x:v>单一药企/医疗权重高、产品管线与定价政策</x:v>
      </x:c>
      <x:c r="F9" s="68" t="str">
        <x:v>EDEN</x:v>
      </x:c>
      <x:c r="G9" s="64" t="str">
        <x:v>NVO；DSV.CO；VWS.CO</x:v>
      </x:c>
      <x:c r="H9" s="64" t="str">
        <x:v>标配</x:v>
      </x:c>
      <x:c r="I9" s="64" t="str">
        <x:v>医疗仓位折算至总组合≤2%；P/E≤18倍再增配</x:v>
      </x:c>
    </x:row>
    <x:row r="10" ht="58" customHeight="1">
      <x:c r="A10" s="66" t="n">
        <x:v>6</x:v>
      </x:c>
      <x:c r="B10" s="66" t="str">
        <x:v>瑞典</x:v>
      </x:c>
      <x:c r="C10" s="64" t="str">
        <x:v>国防、工业自动化、电信设备、金融</x:v>
      </x:c>
      <x:c r="D10" s="64" t="str">
        <x:v>国防/公共投资、内需修复、资本品出口</x:v>
      </x:c>
      <x:c r="E10" s="64" t="str">
        <x:v>地产/家庭杠杆、欧洲周期、克朗波动</x:v>
      </x:c>
      <x:c r="F10" s="68" t="str">
        <x:v>EWD</x:v>
      </x:c>
      <x:c r="G10" s="64" t="str">
        <x:v>SAAB-B.ST；ATCO-A.ST；INVE-B.ST</x:v>
      </x:c>
      <x:c r="H10" s="64" t="str">
        <x:v>标配</x:v>
      </x:c>
      <x:c r="I10" s="64" t="str">
        <x:v>P/E≤19倍、盈利上修时持有；地产信用利差扩大则减仓</x:v>
      </x:c>
    </x:row>
    <x:row r="11" ht="58" customHeight="1">
      <x:c r="A11" s="66" t="n">
        <x:v>7</x:v>
      </x:c>
      <x:c r="B11" s="66" t="str">
        <x:v>中国台湾</x:v>
      </x:c>
      <x:c r="C11" s="64" t="str">
        <x:v>先进制程、AI服务器、封装测试、电子代工</x:v>
      </x:c>
      <x:c r="D11" s="64" t="str">
        <x:v>2026Q1 GDP +14.55%；AI硬件出口、2nm/先进封装扩产</x:v>
      </x:c>
      <x:c r="E11" s="64" t="str">
        <x:v>IT权重约73%、P/E约31倍；地缘与单一产业集中</x:v>
      </x:c>
      <x:c r="F11" s="68" t="str">
        <x:v>EWT</x:v>
      </x:c>
      <x:c r="G11" s="64" t="str">
        <x:v>TSM；2317.TW 鸿海；2454.TW 联发科</x:v>
      </x:c>
      <x:c r="H11" s="64" t="str">
        <x:v>经济强，价格透支：等待回撤</x:v>
      </x:c>
      <x:c r="I11" s="64" t="str">
        <x:v>仅回撤买：距当前价-12%/-20%分批；硬件三国合计≤12%</x:v>
      </x:c>
    </x:row>
    <x:row r="12" ht="58" customHeight="1">
      <x:c r="A12" s="66" t="n">
        <x:v>8</x:v>
      </x:c>
      <x:c r="B12" s="66" t="str">
        <x:v>越南</x:v>
      </x:c>
      <x:c r="C12" s="64" t="str">
        <x:v>电子制造迁移、港口物流、银行、工业园区</x:v>
      </x:c>
      <x:c r="D12" s="64" t="str">
        <x:v>FDI与出口升级；AI相关出口占GDP比重快速提升；资本市场改革</x:v>
      </x:c>
      <x:c r="E12" s="64" t="str">
        <x:v>进口依赖、汇率/流动性；VNM中IT仅约2.4%，映射AI主线偏弱</x:v>
      </x:c>
      <x:c r="F12" s="68" t="str">
        <x:v>VNM</x:v>
      </x:c>
      <x:c r="G12" s="64" t="str">
        <x:v>FPT.VN；VCB.VN；HPG.VN</x:v>
      </x:c>
      <x:c r="H12" s="64" t="str">
        <x:v>标配</x:v>
      </x:c>
      <x:c r="I12" s="64" t="str">
        <x:v>ETF≤组合3.25%；个股合计≤越南仓位30%，分40/30/30三段</x:v>
      </x:c>
    </x:row>
    <x:row r="13" ht="58" customHeight="1">
      <x:c r="A13" s="66" t="n">
        <x:v>9</x:v>
      </x:c>
      <x:c r="B13" s="66" t="str">
        <x:v>挪威</x:v>
      </x:c>
      <x:c r="C13" s="64" t="str">
        <x:v>油气、海工、国防、海产、主权财富配置</x:v>
      </x:c>
      <x:c r="D13" s="64" t="str">
        <x:v>能源现金流、经常账户与财政缓冲、欧洲能源安全</x:v>
      </x:c>
      <x:c r="E13" s="64" t="str">
        <x:v>油价反转、碳转型、ETF规模较小</x:v>
      </x:c>
      <x:c r="F13" s="68" t="str">
        <x:v>ENOR</x:v>
      </x:c>
      <x:c r="G13" s="64" t="str">
        <x:v>EQNR；KOG.OL；AKRBP.OL</x:v>
      </x:c>
      <x:c r="H13" s="64" t="str">
        <x:v>标配</x:v>
      </x:c>
      <x:c r="I13" s="64" t="str">
        <x:v>股息率&gt;5%维持；油价跌破70美元且盈利下修时减1.5个百分点</x:v>
      </x:c>
    </x:row>
    <x:row r="14" ht="58" customHeight="1">
      <x:c r="A14" s="66" t="n">
        <x:v>10</x:v>
      </x:c>
      <x:c r="B14" s="66" t="str">
        <x:v>印度尼西亚</x:v>
      </x:c>
      <x:c r="C14" s="64" t="str">
        <x:v>镍/电池材料、银行、通信、消费、基建</x:v>
      </x:c>
      <x:c r="D14" s="64" t="str">
        <x:v>约5%潜在增速、资源下游化、人口与金融渗透率</x:v>
      </x:c>
      <x:c r="E14" s="64" t="str">
        <x:v>政策/治理、商品价格、货币与ETF流动性；深跌可能是价值陷阱</x:v>
      </x:c>
      <x:c r="F14" s="68" t="str">
        <x:v>EIDO</x:v>
      </x:c>
      <x:c r="G14" s="64" t="str">
        <x:v>BBCA.JK；TLKM.JK；ANTM.JK</x:v>
      </x:c>
      <x:c r="H14" s="64" t="str">
        <x:v>标配</x:v>
      </x:c>
      <x:c r="I14" s="64" t="str">
        <x:v>P/E&lt;11倍分批；单次不超过目标仓40%，止损用基本面而非价格</x:v>
      </x:c>
    </x:row>
    <x:row r="15" ht="58" customHeight="1">
      <x:c r="A15" s="66" t="n">
        <x:v>11</x:v>
      </x:c>
      <x:c r="B15" s="66" t="str">
        <x:v>瑞士</x:v>
      </x:c>
      <x:c r="C15" s="64" t="str">
        <x:v>制药、精密工业、财富管理、食品消费</x:v>
      </x:c>
      <x:c r="D15" s="64" t="str">
        <x:v>避险货币、低通胀、高端制造与全球医疗现金流</x:v>
      </x:c>
      <x:c r="E15" s="64" t="str">
        <x:v>估值偏高、瑞郎过强、药品定价政策</x:v>
      </x:c>
      <x:c r="F15" s="68" t="str">
        <x:v>EWL</x:v>
      </x:c>
      <x:c r="G15" s="64" t="str">
        <x:v>NVS；ABB；RHHBY</x:v>
      </x:c>
      <x:c r="H15" s="64" t="str">
        <x:v>标配</x:v>
      </x:c>
      <x:c r="I15" s="64" t="str">
        <x:v>防守仓；P/E&gt;25倍不追，风险资产回撤时作为再平衡资金源</x:v>
      </x:c>
    </x:row>
    <x:row r="16" ht="58" customHeight="1">
      <x:c r="A16" s="66" t="n">
        <x:v>12</x:v>
      </x:c>
      <x:c r="B16" s="66" t="str">
        <x:v>波兰</x:v>
      </x:c>
      <x:c r="C16" s="64" t="str">
        <x:v>国防、银行、近岸制造、软件、基建</x:v>
      </x:c>
      <x:c r="D16" s="64" t="str">
        <x:v>欧盟资金、国防支出、供应链近岸化、居民需求</x:v>
      </x:c>
      <x:c r="E16" s="64" t="str">
        <x:v>俄乌地缘、财政/通胀、市场集中与货币波动</x:v>
      </x:c>
      <x:c r="F16" s="68" t="str">
        <x:v>EPOL</x:v>
      </x:c>
      <x:c r="G16" s="64" t="str">
        <x:v>PKO.WA；DNP.WA；CDR.WA</x:v>
      </x:c>
      <x:c r="H16" s="64" t="str">
        <x:v>标配</x:v>
      </x:c>
      <x:c r="I16" s="64" t="str">
        <x:v>P/E≤16倍且股息率&gt;3%维持；地缘升级减半</x:v>
      </x:c>
    </x:row>
    <x:row r="17" ht="58" customHeight="1">
      <x:c r="A17" s="66" t="n">
        <x:v>13</x:v>
      </x:c>
      <x:c r="B17" s="66" t="str">
        <x:v>巴西</x:v>
      </x:c>
      <x:c r="C17" s="64" t="str">
        <x:v>金融、矿业、油气、农业、数字金融</x:v>
      </x:c>
      <x:c r="D17" s="64" t="str">
        <x:v>低估值/高股息、商品与降息周期、金融渗透率</x:v>
      </x:c>
      <x:c r="E17" s="64" t="str">
        <x:v>财政规则、雷亚尔、政治、商品价格</x:v>
      </x:c>
      <x:c r="F17" s="68" t="str">
        <x:v>EWZ</x:v>
      </x:c>
      <x:c r="G17" s="64" t="str">
        <x:v>NU；VALE；PBR</x:v>
      </x:c>
      <x:c r="H17" s="64" t="str">
        <x:v>标配</x:v>
      </x:c>
      <x:c r="I17" s="64" t="str">
        <x:v>P/E≤11倍、股息率≥4%超配；财政风险溢价急升则减2个百分点</x:v>
      </x:c>
    </x:row>
    <x:row r="18" ht="58" customHeight="1">
      <x:c r="A18" s="66" t="n">
        <x:v>14</x:v>
      </x:c>
      <x:c r="B18" s="66" t="str">
        <x:v>澳大利亚</x:v>
      </x:c>
      <x:c r="C18" s="64" t="str">
        <x:v>矿业、银行、关键矿产、医疗、能源转型</x:v>
      </x:c>
      <x:c r="D18" s="64" t="str">
        <x:v>商品现金流、养老金资本池、关键矿产与电网投资</x:v>
      </x:c>
      <x:c r="E18" s="64" t="str">
        <x:v>中国需求、房地产/家庭债务、通胀与利率</x:v>
      </x:c>
      <x:c r="F18" s="68" t="str">
        <x:v>EWA</x:v>
      </x:c>
      <x:c r="G18" s="64" t="str">
        <x:v>BHP；CSL.AX；MQG.AX</x:v>
      </x:c>
      <x:c r="H18" s="64" t="str">
        <x:v>标配</x:v>
      </x:c>
      <x:c r="I18" s="64" t="str">
        <x:v>P/E≤21倍附近分批；材料+金融总暴露计入组合周期仓上限</x:v>
      </x:c>
    </x:row>
    <x:row r="19" ht="58" customHeight="1">
      <x:c r="A19" s="66" t="n">
        <x:v>15</x:v>
      </x:c>
      <x:c r="B19" s="66" t="str">
        <x:v>美国</x:v>
      </x:c>
      <x:c r="C19" s="64" t="str">
        <x:v>AI算力/软件、电网、国防、医疗创新、资本市场</x:v>
      </x:c>
      <x:c r="D19" s="64" t="str">
        <x:v>AI资本开支与生产率外溢；全球最深流动性和创新生态</x:v>
      </x:c>
      <x:c r="E19" s="64" t="str">
        <x:v>VTI P/E约27.4倍；财政赤字、期限溢价与AI估值集中</x:v>
      </x:c>
      <x:c r="F19" s="68" t="str">
        <x:v>VTI</x:v>
      </x:c>
      <x:c r="G19" s="64" t="str">
        <x:v>MSFT；AVGO；VRT</x:v>
      </x:c>
      <x:c r="H19" s="64" t="str">
        <x:v>标配</x:v>
      </x:c>
      <x:c r="I19" s="64" t="str">
        <x:v>作为核心仓；估值&gt;30倍时暂停增配，回撤8%/15%再加仓</x:v>
      </x:c>
    </x:row>
    <x:row r="20" ht="58" customHeight="1">
      <x:c r="A20" s="66" t="n">
        <x:v>16</x:v>
      </x:c>
      <x:c r="B20" s="66" t="str">
        <x:v>荷兰</x:v>
      </x:c>
      <x:c r="C20" s="64" t="str">
        <x:v>半导体设备、物流、工业技术、金融</x:v>
      </x:c>
      <x:c r="D20" s="64" t="str">
        <x:v>AI设备资本开支、欧洲制造升级、全球贸易枢纽</x:v>
      </x:c>
      <x:c r="E20" s="64" t="str">
        <x:v>半导体设备集中、出口管制、中国资本开支周期</x:v>
      </x:c>
      <x:c r="F20" s="68" t="str">
        <x:v>EWN</x:v>
      </x:c>
      <x:c r="G20" s="64" t="str">
        <x:v>ASML；ASM.AS；BESI.AS</x:v>
      </x:c>
      <x:c r="H20" s="64" t="str">
        <x:v>标配</x:v>
      </x:c>
      <x:c r="I20" s="64" t="str">
        <x:v>P/E≤20倍附近小仓；1年涨幅&gt;35%不加仓</x:v>
      </x:c>
    </x:row>
    <x:row r="21" ht="58" customHeight="1">
      <x:c r="A21" s="66" t="n">
        <x:v>17</x:v>
      </x:c>
      <x:c r="B21" s="66" t="str">
        <x:v>西班牙</x:v>
      </x:c>
      <x:c r="C21" s="64" t="str">
        <x:v>银行、公用事业、可再生能源、旅游、国防电子</x:v>
      </x:c>
      <x:c r="D21" s="64" t="str">
        <x:v>欧元区领先增长、旅游与服务出口、能源转型投资</x:v>
      </x:c>
      <x:c r="E21" s="64" t="str">
        <x:v>ETF金融+公用事业权重高、利率与监管风险</x:v>
      </x:c>
      <x:c r="F21" s="68" t="str">
        <x:v>EWP</x:v>
      </x:c>
      <x:c r="G21" s="64" t="str">
        <x:v>SAN；IBE.MC；IDR.MC</x:v>
      </x:c>
      <x:c r="H21" s="64" t="str">
        <x:v>低配/观察</x:v>
      </x:c>
      <x:c r="I21" s="64" t="str">
        <x:v>P/E≤16倍持有；银行净息差转弱时从4%降至3%</x:v>
      </x:c>
    </x:row>
    <x:row r="22" ht="58" customHeight="1">
      <x:c r="A22" s="66" t="n">
        <x:v>18</x:v>
      </x:c>
      <x:c r="B22" s="66" t="str">
        <x:v>日本</x:v>
      </x:c>
      <x:c r="C22" s="64" t="str">
        <x:v>机器人、半导体设备、重工、电网、汽车</x:v>
      </x:c>
      <x:c r="D22" s="64" t="str">
        <x:v>公司治理改革、名义增长、自动化与资本效率提升</x:v>
      </x:c>
      <x:c r="E22" s="64" t="str">
        <x:v>日元、利率正常化、能源进口、出口周期</x:v>
      </x:c>
      <x:c r="F22" s="68" t="str">
        <x:v>EWJ</x:v>
      </x:c>
      <x:c r="G22" s="64" t="str">
        <x:v>TM；6501.T 日立；8035.T 东京电子</x:v>
      </x:c>
      <x:c r="H22" s="64" t="str">
        <x:v>低配/观察</x:v>
      </x:c>
      <x:c r="I22" s="64" t="str">
        <x:v>P/E≤19倍持有；日元单季升值&gt;10%时降低出口股比例</x:v>
      </x:c>
    </x:row>
    <x:row r="23" ht="58" customHeight="1">
      <x:c r="A23" s="66" t="n">
        <x:v>19</x:v>
      </x:c>
      <x:c r="B23" s="66" t="str">
        <x:v>墨西哥</x:v>
      </x:c>
      <x:c r="C23" s="64" t="str">
        <x:v>近岸制造、机场、消费、建材、金融</x:v>
      </x:c>
      <x:c r="D23" s="64" t="str">
        <x:v>北美供应链重构、物流/工业园、人口与消费</x:v>
      </x:c>
      <x:c r="E23" s="64" t="str">
        <x:v>美墨贸易规则、治安/水电、比索与财政</x:v>
      </x:c>
      <x:c r="F23" s="68" t="str">
        <x:v>EWW</x:v>
      </x:c>
      <x:c r="G23" s="64" t="str">
        <x:v>FMX；PAC；CX</x:v>
      </x:c>
      <x:c r="H23" s="64" t="str">
        <x:v>低配/观察</x:v>
      </x:c>
      <x:c r="I23" s="64" t="str">
        <x:v>P/E≤14倍持有；贸易规则恶化则仓位从3%降至1.5%</x:v>
      </x:c>
    </x:row>
    <x:row r="24" ht="58" customHeight="1">
      <x:c r="A24" s="67" t="n">
        <x:v>20</x:v>
      </x:c>
      <x:c r="B24" s="67" t="str">
        <x:v>韩国</x:v>
      </x:c>
      <x:c r="C24" s="65" t="str">
        <x:v>HBM存储、先进制造、船舶、核电设备、汽车</x:v>
      </x:c>
      <x:c r="D24" s="65" t="str">
        <x:v>AI存储与电力设备订单；出口周期上行</x:v>
      </x:c>
      <x:c r="E24" s="65" t="str">
        <x:v>ETF年内约+106%、1年约+189%；波动和周期回撤风险极高</x:v>
      </x:c>
      <x:c r="F24" s="69" t="str">
        <x:v>EWY</x:v>
      </x:c>
      <x:c r="G24" s="65" t="str">
        <x:v>005930.KS 三星电子；000660.KS SK海力士；267260.KS HD现代电气</x:v>
      </x:c>
      <x:c r="H24" s="65" t="str">
        <x:v>经济强，价格透支：等待回撤</x:v>
      </x:c>
      <x:c r="I24" s="65" t="str">
        <x:v>不追涨；先25%，回撤-15%加35%，回撤-25%加40%</x:v>
      </x:c>
    </x:row>
  </x:sheetData>
  <x:mergeCells>
    <x:mergeCell ref="A1:I1"/>
    <x:mergeCell ref="A2:I2"/>
  </x:mergeCells>
  <x:conditionalFormatting sqref="H5:H24">
    <x:cfRule type="expression" dxfId="2" priority="1">
      <x:formula>H5="超配"</x:formula>
    </x:cfRule>
    <x:cfRule type="expression" dxfId="3" priority="2">
      <x:formula>H5="经济强，价格透支：等待回撤"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48" hidden="0" customWidth="1"/>
    <x:col min="8" max="8" width="13" hidden="0" customWidth="1"/>
    <x:col min="9" max="9" width="15" hidden="0" customWidth="1"/>
    <x:col min="10" max="10" width="9" hidden="0" customWidth="1"/>
    <x:col min="11" max="11" width="14" hidden="0" customWidth="1"/>
    <x:col min="12" max="12" width="9" hidden="0" customWidth="1"/>
    <x:col min="13" max="13" width="14" hidden="0" customWidth="1"/>
    <x:col min="14" max="14" width="9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4" customHeight="1">
      <x:c r="A1" s="97" t="str">
        <x:v>量化组合、仓位与分批建仓</x:v>
      </x:c>
    </x:row>
    <x:row r="2" ht="30" customHeight="1">
      <x:c r="A2" s="8" t="str">
        <x:v>默认：人民币投资者、美元计价、3-5年、中等风险。参考本金和汇率可调整；结果会自动联动。20国权重是65%权益篮子内部权重。</x:v>
      </x:c>
    </x:row>
    <x:row r="4" ht="28" customHeight="1">
      <x:c r="A4" s="20" t="str">
        <x:v>资产类别</x:v>
      </x:c>
      <x:c r="B4" s="21" t="str">
        <x:v>标的示例</x:v>
      </x:c>
      <x:c r="C4" s="21" t="str">
        <x:v>总组合权重</x:v>
      </x:c>
      <x:c r="D4" s="22" t="str">
        <x:v>人民币金额</x:v>
      </x:c>
      <x:c r="F4" s="20" t="str">
        <x:v>可调参数</x:v>
      </x:c>
      <x:c r="G4" s="22" t="str">
        <x:v>数值</x:v>
      </x:c>
    </x:row>
    <x:row r="5">
      <x:c r="A5" s="25" t="str">
        <x:v>20国股票篮子</x:v>
      </x:c>
      <x:c r="B5" s="25" t="str">
        <x:v>下表ETF</x:v>
      </x:c>
      <x:c r="C5" s="73" t="n">
        <x:f>'Model Inputs'!B5</x:f>
        <x:v>0.65</x:v>
      </x:c>
      <x:c r="D5" s="75" t="n">
        <x:f>C5*$G$5</x:f>
        <x:v>650000</x:v>
      </x:c>
      <x:c r="F5" s="25" t="str">
        <x:v>参考本金（CNY）</x:v>
      </x:c>
      <x:c r="G5" s="71" t="n">
        <x:v>1000000</x:v>
      </x:c>
    </x:row>
    <x:row r="6">
      <x:c r="A6" s="25" t="str">
        <x:v>1-3年美债</x:v>
      </x:c>
      <x:c r="B6" s="25" t="str">
        <x:v>SGOV / BIL</x:v>
      </x:c>
      <x:c r="C6" s="73" t="n">
        <x:f>'Model Inputs'!B6</x:f>
        <x:v>0.2</x:v>
      </x:c>
      <x:c r="D6" s="75" t="n">
        <x:f>C6*$G$5</x:f>
        <x:v>200000</x:v>
      </x:c>
      <x:c r="F6" s="25" t="str">
        <x:v>USD/CNY</x:v>
      </x:c>
      <x:c r="G6" s="72" t="n">
        <x:v>7.2</x:v>
      </x:c>
    </x:row>
    <x:row r="7">
      <x:c r="A7" s="25" t="str">
        <x:v>黄金</x:v>
      </x:c>
      <x:c r="B7" s="25" t="str">
        <x:v>IAU</x:v>
      </x:c>
      <x:c r="C7" s="73" t="n">
        <x:f>'Model Inputs'!B7</x:f>
        <x:v>0.1</x:v>
      </x:c>
      <x:c r="D7" s="75" t="n">
        <x:f>C7*$G$5</x:f>
        <x:v>100000</x:v>
      </x:c>
      <x:c r="F7" s="26" t="str">
        <x:v>权益篮子占总组合</x:v>
      </x:c>
      <x:c r="G7" s="30" t="n">
        <x:f>'Model Inputs'!B5</x:f>
        <x:v>0.65</x:v>
      </x:c>
    </x:row>
    <x:row r="8">
      <x:c r="A8" s="25" t="str">
        <x:v>现金</x:v>
      </x:c>
      <x:c r="B8" s="25" t="str">
        <x:v>货币基金/存款</x:v>
      </x:c>
      <x:c r="C8" s="73" t="n">
        <x:f>'Model Inputs'!B8</x:f>
        <x:v>0.05</x:v>
      </x:c>
      <x:c r="D8" s="75" t="n">
        <x:f>C8*$G$5</x:f>
        <x:v>50000</x:v>
      </x:c>
    </x:row>
    <x:row r="9">
      <x:c r="A9" s="26" t="str">
        <x:v>合计</x:v>
      </x:c>
      <x:c r="B9" s="26" t="str"/>
      <x:c r="C9" s="74" t="n">
        <x:f>SUM(C5:C8)</x:f>
        <x:v>1</x:v>
      </x:c>
      <x:c r="D9" s="76" t="n">
        <x:f>SUM(D5:D8)</x:f>
        <x:v>1000000</x:v>
      </x:c>
    </x:row>
    <x:row r="11" ht="28" customHeight="1">
      <x:c r="A11" s="20" t="str">
        <x:v>国家/地区</x:v>
      </x:c>
      <x:c r="B11" s="21" t="str">
        <x:v>ETF</x:v>
      </x:c>
      <x:c r="C11" s="21" t="str">
        <x:v>综合分</x:v>
      </x:c>
      <x:c r="D11" s="21" t="str">
        <x:v>波动率</x:v>
      </x:c>
      <x:c r="E11" s="21" t="str">
        <x:v>风险调整分</x:v>
      </x:c>
      <x:c r="F11" s="21" t="str">
        <x:v>模型权益权重</x:v>
      </x:c>
      <x:c r="G11" s="21" t="str">
        <x:v>目标权益权重</x:v>
      </x:c>
      <x:c r="H11" s="21" t="str">
        <x:v>总组合权重</x:v>
      </x:c>
      <x:c r="I11" s="21" t="str">
        <x:v>1百万元金额</x:v>
      </x:c>
      <x:c r="J11" s="21" t="str">
        <x:v>首批%</x:v>
      </x:c>
      <x:c r="K11" s="21" t="str">
        <x:v>首批金额</x:v>
      </x:c>
      <x:c r="L11" s="21" t="str">
        <x:v>二批%</x:v>
      </x:c>
      <x:c r="M11" s="21" t="str">
        <x:v>二批金额</x:v>
      </x:c>
      <x:c r="N11" s="21" t="str">
        <x:v>三批%</x:v>
      </x:c>
      <x:c r="O11" s="21" t="str">
        <x:v>三批金额</x:v>
      </x:c>
      <x:c r="P11" s="21" t="str">
        <x:v>ETF参考价USD</x:v>
      </x:c>
      <x:c r="Q11" s="22" t="str">
        <x:v>首批参考份额</x:v>
      </x:c>
    </x:row>
    <x:row r="12">
      <x:c r="A12" s="55" t="str">
        <x:f>'Country Ranking'!B8</x:f>
        <x:v>新加坡</x:v>
      </x:c>
      <x:c r="B12" s="55" t="str">
        <x:f>'Country Ranking'!R8</x:f>
        <x:v>EWS</x:v>
      </x:c>
      <x:c r="C12" s="54" t="n">
        <x:f>'Country Ranking'!P8</x:f>
        <x:v>7.809449999999999</x:v>
      </x:c>
      <x:c r="D12" s="52" t="n">
        <x:f>'Country Ranking'!M8</x:f>
        <x:v>0.1665</x:v>
      </x:c>
      <x:c r="E12" s="79" t="n">
        <x:f>C12/MAX(D12,10%)</x:f>
        <x:v>46.90360360360359</x:v>
      </x:c>
      <x:c r="F12" s="52" t="n">
        <x:f>E12/SUM($E$12:$E$31)</x:f>
        <x:v>0.064952141769682</x:v>
      </x:c>
      <x:c r="G12" s="81" t="n">
        <x:v>0.04</x:v>
      </x:c>
      <x:c r="H12" s="52" t="n">
        <x:f>G12*$G$7</x:f>
        <x:v>0.026000000000000002</x:v>
      </x:c>
      <x:c r="I12" s="75" t="n">
        <x:f>H12*$G$5</x:f>
        <x:v>26000.000000000004</x:v>
      </x:c>
      <x:c r="J12" s="28" t="n">
        <x:v>0.4</x:v>
      </x:c>
      <x:c r="K12" s="75" t="n">
        <x:f>I12*J12</x:f>
        <x:v>10400.000000000002</x:v>
      </x:c>
      <x:c r="L12" s="28" t="n">
        <x:v>0.3</x:v>
      </x:c>
      <x:c r="M12" s="75" t="n">
        <x:f>I12*L12</x:f>
        <x:v>7800.000000000001</x:v>
      </x:c>
      <x:c r="N12" s="28" t="n">
        <x:v>0.3</x:v>
      </x:c>
      <x:c r="O12" s="75" t="n">
        <x:f>I12*N12</x:f>
        <x:v>7800.000000000001</x:v>
      </x:c>
      <x:c r="P12" s="84" t="n">
        <x:v>31.44</x:v>
      </x:c>
      <x:c r="Q12" s="86" t="n">
        <x:f>ROUNDDOWN(K12/$G$6/P12,0)</x:f>
        <x:v>45</x:v>
      </x:c>
    </x:row>
    <x:row r="13">
      <x:c r="A13" s="55" t="str">
        <x:f>'Country Ranking'!B9</x:f>
        <x:v>马来西亚</x:v>
      </x:c>
      <x:c r="B13" s="55" t="str">
        <x:f>'Country Ranking'!R9</x:f>
        <x:v>EWM</x:v>
      </x:c>
      <x:c r="C13" s="54" t="n">
        <x:f>'Country Ranking'!P9</x:f>
        <x:v>7.693483333333333</x:v>
      </x:c>
      <x:c r="D13" s="52" t="n">
        <x:f>'Country Ranking'!M9</x:f>
        <x:v>0.1259</x:v>
      </x:c>
      <x:c r="E13" s="79" t="n">
        <x:f>C13/MAX(D13,10%)</x:f>
        <x:v>61.10788985967699</x:v>
      </x:c>
      <x:c r="F13" s="52" t="n">
        <x:f>E13/SUM($E$12:$E$31)</x:f>
        <x:v>0.08462224691637359</x:v>
      </x:c>
      <x:c r="G13" s="81" t="n">
        <x:v>0.05</x:v>
      </x:c>
      <x:c r="H13" s="52" t="n">
        <x:f>G13*$G$7</x:f>
        <x:v>0.0325</x:v>
      </x:c>
      <x:c r="I13" s="75" t="n">
        <x:f>H13*$G$5</x:f>
        <x:v>32500</x:v>
      </x:c>
      <x:c r="J13" s="28" t="n">
        <x:v>0.4</x:v>
      </x:c>
      <x:c r="K13" s="75" t="n">
        <x:f>I13*J13</x:f>
        <x:v>13000</x:v>
      </x:c>
      <x:c r="L13" s="28" t="n">
        <x:v>0.3</x:v>
      </x:c>
      <x:c r="M13" s="75" t="n">
        <x:f>I13*L13</x:f>
        <x:v>9750</x:v>
      </x:c>
      <x:c r="N13" s="28" t="n">
        <x:v>0.3</x:v>
      </x:c>
      <x:c r="O13" s="75" t="n">
        <x:f>I13*N13</x:f>
        <x:v>9750</x:v>
      </x:c>
      <x:c r="P13" s="84" t="n">
        <x:v>27.81</x:v>
      </x:c>
      <x:c r="Q13" s="86" t="n">
        <x:f>ROUNDDOWN(K13/$G$6/P13,0)</x:f>
        <x:v>64</x:v>
      </x:c>
    </x:row>
    <x:row r="14">
      <x:c r="A14" s="55" t="str">
        <x:f>'Country Ranking'!B10</x:f>
        <x:v>印度</x:v>
      </x:c>
      <x:c r="B14" s="55" t="str">
        <x:f>'Country Ranking'!R10</x:f>
        <x:v>INDA</x:v>
      </x:c>
      <x:c r="C14" s="54" t="n">
        <x:f>'Country Ranking'!P10</x:f>
        <x:v>7.674899999999999</x:v>
      </x:c>
      <x:c r="D14" s="52" t="n">
        <x:f>'Country Ranking'!M10</x:f>
        <x:v>0.1435</x:v>
      </x:c>
      <x:c r="E14" s="79" t="n">
        <x:f>C14/MAX(D14,10%)</x:f>
        <x:v>53.48362369337979</x:v>
      </x:c>
      <x:c r="F14" s="52" t="n">
        <x:f>E14/SUM($E$12:$E$31)</x:f>
        <x:v>0.0740641580089985</x:v>
      </x:c>
      <x:c r="G14" s="81" t="n">
        <x:v>0.09</x:v>
      </x:c>
      <x:c r="H14" s="52" t="n">
        <x:f>G14*$G$7</x:f>
        <x:v>0.058499999999999996</x:v>
      </x:c>
      <x:c r="I14" s="75" t="n">
        <x:f>H14*$G$5</x:f>
        <x:v>58500</x:v>
      </x:c>
      <x:c r="J14" s="28" t="n">
        <x:v>0.4</x:v>
      </x:c>
      <x:c r="K14" s="75" t="n">
        <x:f>I14*J14</x:f>
        <x:v>23400</x:v>
      </x:c>
      <x:c r="L14" s="28" t="n">
        <x:v>0.3</x:v>
      </x:c>
      <x:c r="M14" s="75" t="n">
        <x:f>I14*L14</x:f>
        <x:v>17550</x:v>
      </x:c>
      <x:c r="N14" s="28" t="n">
        <x:v>0.3</x:v>
      </x:c>
      <x:c r="O14" s="75" t="n">
        <x:f>I14*N14</x:f>
        <x:v>17550</x:v>
      </x:c>
      <x:c r="P14" s="84" t="n">
        <x:v>47.73</x:v>
      </x:c>
      <x:c r="Q14" s="86" t="n">
        <x:f>ROUNDDOWN(K14/$G$6/P14,0)</x:f>
        <x:v>68</x:v>
      </x:c>
    </x:row>
    <x:row r="15">
      <x:c r="A15" s="55" t="str">
        <x:f>'Country Ranking'!B11</x:f>
        <x:v>中国</x:v>
      </x:c>
      <x:c r="B15" s="55" t="str">
        <x:f>'Country Ranking'!R11</x:f>
        <x:v>MCHI</x:v>
      </x:c>
      <x:c r="C15" s="54" t="n">
        <x:f>'Country Ranking'!P11</x:f>
        <x:v>7.484883333333333</x:v>
      </x:c>
      <x:c r="D15" s="52" t="n">
        <x:f>'Country Ranking'!M11</x:f>
        <x:v>0.2172</x:v>
      </x:c>
      <x:c r="E15" s="79" t="n">
        <x:f>C15/MAX(D15,10%)</x:f>
        <x:v>34.46078882750153</x:v>
      </x:c>
      <x:c r="F15" s="52" t="n">
        <x:f>E15/SUM($E$12:$E$31)</x:f>
        <x:v>0.047721323511419604</x:v>
      </x:c>
      <x:c r="G15" s="81" t="n">
        <x:v>0.07</x:v>
      </x:c>
      <x:c r="H15" s="52" t="n">
        <x:f>G15*$G$7</x:f>
        <x:v>0.045500000000000006</x:v>
      </x:c>
      <x:c r="I15" s="75" t="n">
        <x:f>H15*$G$5</x:f>
        <x:v>45500.00000000001</x:v>
      </x:c>
      <x:c r="J15" s="28" t="n">
        <x:v>0.4</x:v>
      </x:c>
      <x:c r="K15" s="75" t="n">
        <x:f>I15*J15</x:f>
        <x:v>18200.000000000004</x:v>
      </x:c>
      <x:c r="L15" s="28" t="n">
        <x:v>0.3</x:v>
      </x:c>
      <x:c r="M15" s="75" t="n">
        <x:f>I15*L15</x:f>
        <x:v>13650.000000000002</x:v>
      </x:c>
      <x:c r="N15" s="28" t="n">
        <x:v>0.3</x:v>
      </x:c>
      <x:c r="O15" s="75" t="n">
        <x:f>I15*N15</x:f>
        <x:v>13650.000000000002</x:v>
      </x:c>
      <x:c r="P15" s="84" t="n">
        <x:v>53.35</x:v>
      </x:c>
      <x:c r="Q15" s="86" t="n">
        <x:f>ROUNDDOWN(K15/$G$6/P15,0)</x:f>
        <x:v>47</x:v>
      </x:c>
    </x:row>
    <x:row r="16">
      <x:c r="A16" s="55" t="str">
        <x:f>'Country Ranking'!B12</x:f>
        <x:v>丹麦</x:v>
      </x:c>
      <x:c r="B16" s="55" t="str">
        <x:f>'Country Ranking'!R12</x:f>
        <x:v>EDEN</x:v>
      </x:c>
      <x:c r="C16" s="54" t="n">
        <x:f>'Country Ranking'!P12</x:f>
        <x:v>7.368366666666667</x:v>
      </x:c>
      <x:c r="D16" s="52" t="n">
        <x:f>'Country Ranking'!M12</x:f>
        <x:v>0.1535</x:v>
      </x:c>
      <x:c r="E16" s="79" t="n">
        <x:f>C16/MAX(D16,10%)</x:f>
        <x:v>48.002388707926166</x:v>
      </x:c>
      <x:c r="F16" s="52" t="n">
        <x:f>E16/SUM($E$12:$E$31)</x:f>
        <x:v>0.06647374012006742</x:v>
      </x:c>
      <x:c r="G16" s="81" t="n">
        <x:v>0.02</x:v>
      </x:c>
      <x:c r="H16" s="52" t="n">
        <x:f>G16*$G$7</x:f>
        <x:v>0.013000000000000001</x:v>
      </x:c>
      <x:c r="I16" s="75" t="n">
        <x:f>H16*$G$5</x:f>
        <x:v>13000.000000000002</x:v>
      </x:c>
      <x:c r="J16" s="28" t="n">
        <x:v>0.4</x:v>
      </x:c>
      <x:c r="K16" s="75" t="n">
        <x:f>I16*J16</x:f>
        <x:v>5200.000000000001</x:v>
      </x:c>
      <x:c r="L16" s="28" t="n">
        <x:v>0.3</x:v>
      </x:c>
      <x:c r="M16" s="75" t="n">
        <x:f>I16*L16</x:f>
        <x:v>3900.0000000000005</x:v>
      </x:c>
      <x:c r="N16" s="28" t="n">
        <x:v>0.3</x:v>
      </x:c>
      <x:c r="O16" s="75" t="n">
        <x:f>I16*N16</x:f>
        <x:v>3900.0000000000005</x:v>
      </x:c>
      <x:c r="P16" s="84" t="n">
        <x:v>111.18</x:v>
      </x:c>
      <x:c r="Q16" s="86" t="n">
        <x:f>ROUNDDOWN(K16/$G$6/P16,0)</x:f>
        <x:v>6</x:v>
      </x:c>
    </x:row>
    <x:row r="17">
      <x:c r="A17" s="55" t="str">
        <x:f>'Country Ranking'!B13</x:f>
        <x:v>瑞典</x:v>
      </x:c>
      <x:c r="B17" s="55" t="str">
        <x:f>'Country Ranking'!R13</x:f>
        <x:v>EWD</x:v>
      </x:c>
      <x:c r="C17" s="54" t="n">
        <x:f>'Country Ranking'!P13</x:f>
        <x:v>7.344516666666667</x:v>
      </x:c>
      <x:c r="D17" s="52" t="n">
        <x:f>'Country Ranking'!M13</x:f>
        <x:v>0.1828</x:v>
      </x:c>
      <x:c r="E17" s="79" t="n">
        <x:f>C17/MAX(D17,10%)</x:f>
        <x:v>40.1778811086798</x:v>
      </x:c>
      <x:c r="F17" s="52" t="n">
        <x:f>E17/SUM($E$12:$E$31)</x:f>
        <x:v>0.05563835674186665</x:v>
      </x:c>
      <x:c r="G17" s="81" t="n">
        <x:v>0.03</x:v>
      </x:c>
      <x:c r="H17" s="52" t="n">
        <x:f>G17*$G$7</x:f>
        <x:v>0.0195</x:v>
      </x:c>
      <x:c r="I17" s="75" t="n">
        <x:f>H17*$G$5</x:f>
        <x:v>19500</x:v>
      </x:c>
      <x:c r="J17" s="28" t="n">
        <x:v>0.4</x:v>
      </x:c>
      <x:c r="K17" s="75" t="n">
        <x:f>I17*J17</x:f>
        <x:v>7800</x:v>
      </x:c>
      <x:c r="L17" s="28" t="n">
        <x:v>0.3</x:v>
      </x:c>
      <x:c r="M17" s="75" t="n">
        <x:f>I17*L17</x:f>
        <x:v>5850</x:v>
      </x:c>
      <x:c r="N17" s="28" t="n">
        <x:v>0.3</x:v>
      </x:c>
      <x:c r="O17" s="75" t="n">
        <x:f>I17*N17</x:f>
        <x:v>5850</x:v>
      </x:c>
      <x:c r="P17" s="84" t="n">
        <x:v>49.7</x:v>
      </x:c>
      <x:c r="Q17" s="86" t="n">
        <x:f>ROUNDDOWN(K17/$G$6/P17,0)</x:f>
        <x:v>21</x:v>
      </x:c>
    </x:row>
    <x:row r="18">
      <x:c r="A18" s="55" t="str">
        <x:f>'Country Ranking'!B14</x:f>
        <x:v>中国台湾</x:v>
      </x:c>
      <x:c r="B18" s="55" t="str">
        <x:f>'Country Ranking'!R14</x:f>
        <x:v>EWT</x:v>
      </x:c>
      <x:c r="C18" s="54" t="n">
        <x:f>'Country Ranking'!P14</x:f>
        <x:v>7.3184</x:v>
      </x:c>
      <x:c r="D18" s="52" t="n">
        <x:f>'Country Ranking'!M14</x:f>
        <x:v>0.4392</x:v>
      </x:c>
      <x:c r="E18" s="79" t="n">
        <x:f>C18/MAX(D18,10%)</x:f>
        <x:v>16.663023679417122</x:v>
      </x:c>
      <x:c r="F18" s="52" t="n">
        <x:f>E18/SUM($E$12:$E$31)</x:f>
        <x:v>0.02307496638177107</x:v>
      </x:c>
      <x:c r="G18" s="81" t="n">
        <x:v>0.04</x:v>
      </x:c>
      <x:c r="H18" s="52" t="n">
        <x:f>G18*$G$7</x:f>
        <x:v>0.026000000000000002</x:v>
      </x:c>
      <x:c r="I18" s="75" t="n">
        <x:f>H18*$G$5</x:f>
        <x:v>26000.000000000004</x:v>
      </x:c>
      <x:c r="J18" s="28" t="n">
        <x:v>0.25</x:v>
      </x:c>
      <x:c r="K18" s="75" t="n">
        <x:f>I18*J18</x:f>
        <x:v>6500.000000000001</x:v>
      </x:c>
      <x:c r="L18" s="28" t="n">
        <x:v>0.35</x:v>
      </x:c>
      <x:c r="M18" s="75" t="n">
        <x:f>I18*L18</x:f>
        <x:v>9100</x:v>
      </x:c>
      <x:c r="N18" s="28" t="n">
        <x:v>0.4</x:v>
      </x:c>
      <x:c r="O18" s="75" t="n">
        <x:f>I18*N18</x:f>
        <x:v>10400.000000000002</x:v>
      </x:c>
      <x:c r="P18" s="84" t="n">
        <x:v>99.38</x:v>
      </x:c>
      <x:c r="Q18" s="86" t="n">
        <x:f>ROUNDDOWN(K18/$G$6/P18,0)</x:f>
        <x:v>9</x:v>
      </x:c>
    </x:row>
    <x:row r="19">
      <x:c r="A19" s="55" t="str">
        <x:f>'Country Ranking'!B15</x:f>
        <x:v>越南</x:v>
      </x:c>
      <x:c r="B19" s="55" t="str">
        <x:f>'Country Ranking'!R15</x:f>
        <x:v>VNM</x:v>
      </x:c>
      <x:c r="C19" s="54" t="n">
        <x:f>'Country Ranking'!P15</x:f>
        <x:v>7.243499999999999</x:v>
      </x:c>
      <x:c r="D19" s="52" t="n">
        <x:f>'Country Ranking'!M15</x:f>
        <x:v>0.2071</x:v>
      </x:c>
      <x:c r="E19" s="79" t="n">
        <x:f>C19/MAX(D19,10%)</x:f>
        <x:v>34.97585707387735</x:v>
      </x:c>
      <x:c r="F19" s="52" t="n">
        <x:f>E19/SUM($E$12:$E$31)</x:f>
        <x:v>0.04843459036490916</x:v>
      </x:c>
      <x:c r="G19" s="81" t="n">
        <x:v>0.05</x:v>
      </x:c>
      <x:c r="H19" s="52" t="n">
        <x:f>G19*$G$7</x:f>
        <x:v>0.0325</x:v>
      </x:c>
      <x:c r="I19" s="75" t="n">
        <x:f>H19*$G$5</x:f>
        <x:v>32500</x:v>
      </x:c>
      <x:c r="J19" s="28" t="n">
        <x:v>0.4</x:v>
      </x:c>
      <x:c r="K19" s="75" t="n">
        <x:f>I19*J19</x:f>
        <x:v>13000</x:v>
      </x:c>
      <x:c r="L19" s="28" t="n">
        <x:v>0.3</x:v>
      </x:c>
      <x:c r="M19" s="75" t="n">
        <x:f>I19*L19</x:f>
        <x:v>9750</x:v>
      </x:c>
      <x:c r="N19" s="28" t="n">
        <x:v>0.3</x:v>
      </x:c>
      <x:c r="O19" s="75" t="n">
        <x:f>I19*N19</x:f>
        <x:v>9750</x:v>
      </x:c>
      <x:c r="P19" s="84" t="n">
        <x:v>16.66</x:v>
      </x:c>
      <x:c r="Q19" s="86" t="n">
        <x:f>ROUNDDOWN(K19/$G$6/P19,0)</x:f>
        <x:v>108</x:v>
      </x:c>
    </x:row>
    <x:row r="20">
      <x:c r="A20" s="55" t="str">
        <x:f>'Country Ranking'!B16</x:f>
        <x:v>挪威</x:v>
      </x:c>
      <x:c r="B20" s="55" t="str">
        <x:f>'Country Ranking'!R16</x:f>
        <x:v>ENOR</x:v>
      </x:c>
      <x:c r="C20" s="54" t="n">
        <x:f>'Country Ranking'!P16</x:f>
        <x:v>7.1609</x:v>
      </x:c>
      <x:c r="D20" s="52" t="n">
        <x:f>'Country Ranking'!M16</x:f>
        <x:v>0.2435</x:v>
      </x:c>
      <x:c r="E20" s="79" t="n">
        <x:f>C20/MAX(D20,10%)</x:f>
        <x:v>29.408213552361396</x:v>
      </x:c>
      <x:c r="F20" s="52" t="n">
        <x:f>E20/SUM($E$12:$E$31)</x:f>
        <x:v>0.04072451387720893</x:v>
      </x:c>
      <x:c r="G20" s="81" t="n">
        <x:v>0.04</x:v>
      </x:c>
      <x:c r="H20" s="52" t="n">
        <x:f>G20*$G$7</x:f>
        <x:v>0.026000000000000002</x:v>
      </x:c>
      <x:c r="I20" s="75" t="n">
        <x:f>H20*$G$5</x:f>
        <x:v>26000.000000000004</x:v>
      </x:c>
      <x:c r="J20" s="28" t="n">
        <x:v>0.4</x:v>
      </x:c>
      <x:c r="K20" s="75" t="n">
        <x:f>I20*J20</x:f>
        <x:v>10400.000000000002</x:v>
      </x:c>
      <x:c r="L20" s="28" t="n">
        <x:v>0.3</x:v>
      </x:c>
      <x:c r="M20" s="75" t="n">
        <x:f>I20*L20</x:f>
        <x:v>7800.000000000001</x:v>
      </x:c>
      <x:c r="N20" s="28" t="n">
        <x:v>0.3</x:v>
      </x:c>
      <x:c r="O20" s="75" t="n">
        <x:f>I20*N20</x:f>
        <x:v>7800.000000000001</x:v>
      </x:c>
      <x:c r="P20" s="84" t="n">
        <x:v>34.3</x:v>
      </x:c>
      <x:c r="Q20" s="86" t="n">
        <x:f>ROUNDDOWN(K20/$G$6/P20,0)</x:f>
        <x:v>42</x:v>
      </x:c>
    </x:row>
    <x:row r="21">
      <x:c r="A21" s="55" t="str">
        <x:f>'Country Ranking'!B17</x:f>
        <x:v>印度尼西亚</x:v>
      </x:c>
      <x:c r="B21" s="55" t="str">
        <x:f>'Country Ranking'!R17</x:f>
        <x:v>EIDO</x:v>
      </x:c>
      <x:c r="C21" s="54" t="n">
        <x:f>'Country Ranking'!P17</x:f>
        <x:v>7.158533333333334</x:v>
      </x:c>
      <x:c r="D21" s="52" t="n">
        <x:f>'Country Ranking'!M17</x:f>
        <x:v>0.3246</x:v>
      </x:c>
      <x:c r="E21" s="79" t="n">
        <x:f>C21/MAX(D21,10%)</x:f>
        <x:v>22.053399055247485</x:v>
      </x:c>
      <x:c r="F21" s="52" t="n">
        <x:f>E21/SUM($E$12:$E$31)</x:f>
        <x:v>0.03053956182227657</x:v>
      </x:c>
      <x:c r="G21" s="81" t="n">
        <x:v>0.04</x:v>
      </x:c>
      <x:c r="H21" s="52" t="n">
        <x:f>G21*$G$7</x:f>
        <x:v>0.026000000000000002</x:v>
      </x:c>
      <x:c r="I21" s="75" t="n">
        <x:f>H21*$G$5</x:f>
        <x:v>26000.000000000004</x:v>
      </x:c>
      <x:c r="J21" s="28" t="n">
        <x:v>0.4</x:v>
      </x:c>
      <x:c r="K21" s="75" t="n">
        <x:f>I21*J21</x:f>
        <x:v>10400.000000000002</x:v>
      </x:c>
      <x:c r="L21" s="28" t="n">
        <x:v>0.3</x:v>
      </x:c>
      <x:c r="M21" s="75" t="n">
        <x:f>I21*L21</x:f>
        <x:v>7800.000000000001</x:v>
      </x:c>
      <x:c r="N21" s="28" t="n">
        <x:v>0.3</x:v>
      </x:c>
      <x:c r="O21" s="75" t="n">
        <x:f>I21*N21</x:f>
        <x:v>7800.000000000001</x:v>
      </x:c>
      <x:c r="P21" s="84" t="n">
        <x:v>12.4</x:v>
      </x:c>
      <x:c r="Q21" s="86" t="n">
        <x:f>ROUNDDOWN(K21/$G$6/P21,0)</x:f>
        <x:v>116</x:v>
      </x:c>
    </x:row>
    <x:row r="22">
      <x:c r="A22" s="55" t="str">
        <x:f>'Country Ranking'!B18</x:f>
        <x:v>瑞士</x:v>
      </x:c>
      <x:c r="B22" s="55" t="str">
        <x:f>'Country Ranking'!R18</x:f>
        <x:v>EWL</x:v>
      </x:c>
      <x:c r="C22" s="54" t="n">
        <x:f>'Country Ranking'!P18</x:f>
        <x:v>7.006733333333333</x:v>
      </x:c>
      <x:c r="D22" s="52" t="n">
        <x:f>'Country Ranking'!M18</x:f>
        <x:v>0.1494</x:v>
      </x:c>
      <x:c r="E22" s="79" t="n">
        <x:f>C22/MAX(D22,10%)</x:f>
        <x:v>46.8991521642124</x:v>
      </x:c>
      <x:c r="F22" s="52" t="n">
        <x:f>E22/SUM($E$12:$E$31)</x:f>
        <x:v>0.0649459774134236</x:v>
      </x:c>
      <x:c r="G22" s="81" t="n">
        <x:v>0.04</x:v>
      </x:c>
      <x:c r="H22" s="52" t="n">
        <x:f>G22*$G$7</x:f>
        <x:v>0.026000000000000002</x:v>
      </x:c>
      <x:c r="I22" s="75" t="n">
        <x:f>H22*$G$5</x:f>
        <x:v>26000.000000000004</x:v>
      </x:c>
      <x:c r="J22" s="28" t="n">
        <x:v>0.4</x:v>
      </x:c>
      <x:c r="K22" s="75" t="n">
        <x:f>I22*J22</x:f>
        <x:v>10400.000000000002</x:v>
      </x:c>
      <x:c r="L22" s="28" t="n">
        <x:v>0.3</x:v>
      </x:c>
      <x:c r="M22" s="75" t="n">
        <x:f>I22*L22</x:f>
        <x:v>7800.000000000001</x:v>
      </x:c>
      <x:c r="N22" s="28" t="n">
        <x:v>0.3</x:v>
      </x:c>
      <x:c r="O22" s="75" t="n">
        <x:f>I22*N22</x:f>
        <x:v>7800.000000000001</x:v>
      </x:c>
      <x:c r="P22" s="84" t="n">
        <x:v>61.87</x:v>
      </x:c>
      <x:c r="Q22" s="86" t="n">
        <x:f>ROUNDDOWN(K22/$G$6/P22,0)</x:f>
        <x:v>23</x:v>
      </x:c>
    </x:row>
    <x:row r="23">
      <x:c r="A23" s="55" t="str">
        <x:f>'Country Ranking'!B19</x:f>
        <x:v>波兰</x:v>
      </x:c>
      <x:c r="B23" s="55" t="str">
        <x:f>'Country Ranking'!R19</x:f>
        <x:v>EPOL</x:v>
      </x:c>
      <x:c r="C23" s="54" t="n">
        <x:f>'Country Ranking'!P19</x:f>
        <x:v>6.968483333333334</x:v>
      </x:c>
      <x:c r="D23" s="52" t="n">
        <x:f>'Country Ranking'!M19</x:f>
        <x:v>0.2066</x:v>
      </x:c>
      <x:c r="E23" s="79" t="n">
        <x:f>C23/MAX(D23,10%)</x:f>
        <x:v>33.72934817683124</x:v>
      </x:c>
      <x:c r="F23" s="52" t="n">
        <x:f>E23/SUM($E$12:$E$31)</x:f>
        <x:v>0.04670842400715219</x:v>
      </x:c>
      <x:c r="G23" s="81" t="n">
        <x:v>0.04</x:v>
      </x:c>
      <x:c r="H23" s="52" t="n">
        <x:f>G23*$G$7</x:f>
        <x:v>0.026000000000000002</x:v>
      </x:c>
      <x:c r="I23" s="75" t="n">
        <x:f>H23*$G$5</x:f>
        <x:v>26000.000000000004</x:v>
      </x:c>
      <x:c r="J23" s="28" t="n">
        <x:v>0.4</x:v>
      </x:c>
      <x:c r="K23" s="75" t="n">
        <x:f>I23*J23</x:f>
        <x:v>10400.000000000002</x:v>
      </x:c>
      <x:c r="L23" s="28" t="n">
        <x:v>0.3</x:v>
      </x:c>
      <x:c r="M23" s="75" t="n">
        <x:f>I23*L23</x:f>
        <x:v>7800.000000000001</x:v>
      </x:c>
      <x:c r="N23" s="28" t="n">
        <x:v>0.3</x:v>
      </x:c>
      <x:c r="O23" s="75" t="n">
        <x:f>I23*N23</x:f>
        <x:v>7800.000000000001</x:v>
      </x:c>
      <x:c r="P23" s="84" t="n">
        <x:v>40.78</x:v>
      </x:c>
      <x:c r="Q23" s="86" t="n">
        <x:f>ROUNDDOWN(K23/$G$6/P23,0)</x:f>
        <x:v>35</x:v>
      </x:c>
    </x:row>
    <x:row r="24">
      <x:c r="A24" s="55" t="str">
        <x:f>'Country Ranking'!B20</x:f>
        <x:v>巴西</x:v>
      </x:c>
      <x:c r="B24" s="55" t="str">
        <x:f>'Country Ranking'!R20</x:f>
        <x:v>EWZ</x:v>
      </x:c>
      <x:c r="C24" s="54" t="n">
        <x:f>'Country Ranking'!P20</x:f>
        <x:v>6.933766666666667</x:v>
      </x:c>
      <x:c r="D24" s="52" t="n">
        <x:f>'Country Ranking'!M20</x:f>
        <x:v>0.2133</x:v>
      </x:c>
      <x:c r="E24" s="79" t="n">
        <x:f>C24/MAX(D24,10%)</x:f>
        <x:v>32.507110486013445</x:v>
      </x:c>
      <x:c r="F24" s="52" t="n">
        <x:f>E24/SUM($E$12:$E$31)</x:f>
        <x:v>0.0450158684320802</x:v>
      </x:c>
      <x:c r="G24" s="81" t="n">
        <x:v>0.06</x:v>
      </x:c>
      <x:c r="H24" s="52" t="n">
        <x:f>G24*$G$7</x:f>
        <x:v>0.039</x:v>
      </x:c>
      <x:c r="I24" s="75" t="n">
        <x:f>H24*$G$5</x:f>
        <x:v>39000</x:v>
      </x:c>
      <x:c r="J24" s="28" t="n">
        <x:v>0.4</x:v>
      </x:c>
      <x:c r="K24" s="75" t="n">
        <x:f>I24*J24</x:f>
        <x:v>15600</x:v>
      </x:c>
      <x:c r="L24" s="28" t="n">
        <x:v>0.3</x:v>
      </x:c>
      <x:c r="M24" s="75" t="n">
        <x:f>I24*L24</x:f>
        <x:v>11700</x:v>
      </x:c>
      <x:c r="N24" s="28" t="n">
        <x:v>0.3</x:v>
      </x:c>
      <x:c r="O24" s="75" t="n">
        <x:f>I24*N24</x:f>
        <x:v>11700</x:v>
      </x:c>
      <x:c r="P24" s="84" t="n">
        <x:v>36.17</x:v>
      </x:c>
      <x:c r="Q24" s="86" t="n">
        <x:f>ROUNDDOWN(K24/$G$6/P24,0)</x:f>
        <x:v>59</x:v>
      </x:c>
    </x:row>
    <x:row r="25">
      <x:c r="A25" s="55" t="str">
        <x:f>'Country Ranking'!B21</x:f>
        <x:v>澳大利亚</x:v>
      </x:c>
      <x:c r="B25" s="55" t="str">
        <x:f>'Country Ranking'!R21</x:f>
        <x:v>EWA</x:v>
      </x:c>
      <x:c r="C25" s="54" t="n">
        <x:f>'Country Ranking'!P21</x:f>
        <x:v>6.887833333333333</x:v>
      </x:c>
      <x:c r="D25" s="52" t="n">
        <x:f>'Country Ranking'!M21</x:f>
        <x:v>0.1579</x:v>
      </x:c>
      <x:c r="E25" s="79" t="n">
        <x:f>C25/MAX(D25,10%)</x:f>
        <x:v>43.62149039476461</x:v>
      </x:c>
      <x:c r="F25" s="52" t="n">
        <x:f>E25/SUM($E$12:$E$31)</x:f>
        <x:v>0.06040706919388793</x:v>
      </x:c>
      <x:c r="G25" s="81" t="n">
        <x:v>0.04</x:v>
      </x:c>
      <x:c r="H25" s="52" t="n">
        <x:f>G25*$G$7</x:f>
        <x:v>0.026000000000000002</x:v>
      </x:c>
      <x:c r="I25" s="75" t="n">
        <x:f>H25*$G$5</x:f>
        <x:v>26000.000000000004</x:v>
      </x:c>
      <x:c r="J25" s="28" t="n">
        <x:v>0.4</x:v>
      </x:c>
      <x:c r="K25" s="75" t="n">
        <x:f>I25*J25</x:f>
        <x:v>10400.000000000002</x:v>
      </x:c>
      <x:c r="L25" s="28" t="n">
        <x:v>0.3</x:v>
      </x:c>
      <x:c r="M25" s="75" t="n">
        <x:f>I25*L25</x:f>
        <x:v>7800.000000000001</x:v>
      </x:c>
      <x:c r="N25" s="28" t="n">
        <x:v>0.3</x:v>
      </x:c>
      <x:c r="O25" s="75" t="n">
        <x:f>I25*N25</x:f>
        <x:v>7800.000000000001</x:v>
      </x:c>
      <x:c r="P25" s="84" t="n">
        <x:v>28.49</x:v>
      </x:c>
      <x:c r="Q25" s="86" t="n">
        <x:f>ROUNDDOWN(K25/$G$6/P25,0)</x:f>
        <x:v>50</x:v>
      </x:c>
    </x:row>
    <x:row r="26">
      <x:c r="A26" s="55" t="str">
        <x:f>'Country Ranking'!B22</x:f>
        <x:v>美国</x:v>
      </x:c>
      <x:c r="B26" s="55" t="str">
        <x:f>'Country Ranking'!R22</x:f>
        <x:v>VTI</x:v>
      </x:c>
      <x:c r="C26" s="54" t="n">
        <x:f>'Country Ranking'!P22</x:f>
        <x:v>6.87305</x:v>
      </x:c>
      <x:c r="D26" s="52" t="n">
        <x:f>'Country Ranking'!M22</x:f>
        <x:v>0.1516</x:v>
      </x:c>
      <x:c r="E26" s="79" t="n">
        <x:f>C26/MAX(D26,10%)</x:f>
        <x:v>45.336741424802106</x:v>
      </x:c>
      <x:c r="F26" s="52" t="n">
        <x:f>E26/SUM($E$12:$E$31)</x:f>
        <x:v>0.06278234997220809</x:v>
      </x:c>
      <x:c r="G26" s="81" t="n">
        <x:v>0.16</x:v>
      </x:c>
      <x:c r="H26" s="52" t="n">
        <x:f>G26*$G$7</x:f>
        <x:v>0.10400000000000001</x:v>
      </x:c>
      <x:c r="I26" s="75" t="n">
        <x:f>H26*$G$5</x:f>
        <x:v>104000.00000000001</x:v>
      </x:c>
      <x:c r="J26" s="28" t="n">
        <x:v>0.4</x:v>
      </x:c>
      <x:c r="K26" s="75" t="n">
        <x:f>I26*J26</x:f>
        <x:v>41600.00000000001</x:v>
      </x:c>
      <x:c r="L26" s="28" t="n">
        <x:v>0.3</x:v>
      </x:c>
      <x:c r="M26" s="75" t="n">
        <x:f>I26*L26</x:f>
        <x:v>31200.000000000004</x:v>
      </x:c>
      <x:c r="N26" s="28" t="n">
        <x:v>0.3</x:v>
      </x:c>
      <x:c r="O26" s="75" t="n">
        <x:f>I26*N26</x:f>
        <x:v>31200.000000000004</x:v>
      </x:c>
      <x:c r="P26" s="84" t="n">
        <x:v>365.37</x:v>
      </x:c>
      <x:c r="Q26" s="86" t="n">
        <x:f>ROUNDDOWN(K26/$G$6/P26,0)</x:f>
        <x:v>15</x:v>
      </x:c>
    </x:row>
    <x:row r="27">
      <x:c r="A27" s="55" t="str">
        <x:f>'Country Ranking'!B23</x:f>
        <x:v>荷兰</x:v>
      </x:c>
      <x:c r="B27" s="55" t="str">
        <x:f>'Country Ranking'!R23</x:f>
        <x:v>EWN</x:v>
      </x:c>
      <x:c r="C27" s="54" t="n">
        <x:f>'Country Ranking'!P23</x:f>
        <x:v>6.847683333333334</x:v>
      </x:c>
      <x:c r="D27" s="52" t="n">
        <x:f>'Country Ranking'!M23</x:f>
        <x:v>0.2547</x:v>
      </x:c>
      <x:c r="E27" s="79" t="n">
        <x:f>C27/MAX(D27,10%)</x:f>
        <x:v>26.885289883523104</x:v>
      </x:c>
      <x:c r="F27" s="52" t="n">
        <x:f>E27/SUM($E$12:$E$31)</x:f>
        <x:v>0.03723076748626252</x:v>
      </x:c>
      <x:c r="G27" s="81" t="n">
        <x:v>0.03</x:v>
      </x:c>
      <x:c r="H27" s="52" t="n">
        <x:f>G27*$G$7</x:f>
        <x:v>0.0195</x:v>
      </x:c>
      <x:c r="I27" s="75" t="n">
        <x:f>H27*$G$5</x:f>
        <x:v>19500</x:v>
      </x:c>
      <x:c r="J27" s="28" t="n">
        <x:v>0.4</x:v>
      </x:c>
      <x:c r="K27" s="75" t="n">
        <x:f>I27*J27</x:f>
        <x:v>7800</x:v>
      </x:c>
      <x:c r="L27" s="28" t="n">
        <x:v>0.3</x:v>
      </x:c>
      <x:c r="M27" s="75" t="n">
        <x:f>I27*L27</x:f>
        <x:v>5850</x:v>
      </x:c>
      <x:c r="N27" s="28" t="n">
        <x:v>0.3</x:v>
      </x:c>
      <x:c r="O27" s="75" t="n">
        <x:f>I27*N27</x:f>
        <x:v>5850</x:v>
      </x:c>
      <x:c r="P27" s="84" t="n">
        <x:v>67.1</x:v>
      </x:c>
      <x:c r="Q27" s="86" t="n">
        <x:f>ROUNDDOWN(K27/$G$6/P27,0)</x:f>
        <x:v>16</x:v>
      </x:c>
    </x:row>
    <x:row r="28">
      <x:c r="A28" s="55" t="str">
        <x:f>'Country Ranking'!B24</x:f>
        <x:v>西班牙</x:v>
      </x:c>
      <x:c r="B28" s="55" t="str">
        <x:f>'Country Ranking'!R24</x:f>
        <x:v>EWP</x:v>
      </x:c>
      <x:c r="C28" s="54" t="n">
        <x:f>'Country Ranking'!P24</x:f>
        <x:v>6.786733333333334</x:v>
      </x:c>
      <x:c r="D28" s="52" t="n">
        <x:f>'Country Ranking'!M24</x:f>
        <x:v>0.1751</x:v>
      </x:c>
      <x:c r="E28" s="79" t="n">
        <x:f>C28/MAX(D28,10%)</x:f>
        <x:v>38.759185227489056</x:v>
      </x:c>
      <x:c r="F28" s="52" t="n">
        <x:f>E28/SUM($E$12:$E$31)</x:f>
        <x:v>0.053673745732829264</x:v>
      </x:c>
      <x:c r="G28" s="81" t="n">
        <x:v>0.04</x:v>
      </x:c>
      <x:c r="H28" s="52" t="n">
        <x:f>G28*$G$7</x:f>
        <x:v>0.026000000000000002</x:v>
      </x:c>
      <x:c r="I28" s="75" t="n">
        <x:f>H28*$G$5</x:f>
        <x:v>26000.000000000004</x:v>
      </x:c>
      <x:c r="J28" s="28" t="n">
        <x:v>0.4</x:v>
      </x:c>
      <x:c r="K28" s="75" t="n">
        <x:f>I28*J28</x:f>
        <x:v>10400.000000000002</x:v>
      </x:c>
      <x:c r="L28" s="28" t="n">
        <x:v>0.3</x:v>
      </x:c>
      <x:c r="M28" s="75" t="n">
        <x:f>I28*L28</x:f>
        <x:v>7800.000000000001</x:v>
      </x:c>
      <x:c r="N28" s="28" t="n">
        <x:v>0.3</x:v>
      </x:c>
      <x:c r="O28" s="75" t="n">
        <x:f>I28*N28</x:f>
        <x:v>7800.000000000001</x:v>
      </x:c>
      <x:c r="P28" s="84" t="n">
        <x:v>59.02</x:v>
      </x:c>
      <x:c r="Q28" s="86" t="n">
        <x:f>ROUNDDOWN(K28/$G$6/P28,0)</x:f>
        <x:v>24</x:v>
      </x:c>
    </x:row>
    <x:row r="29">
      <x:c r="A29" s="55" t="str">
        <x:f>'Country Ranking'!B25</x:f>
        <x:v>日本</x:v>
      </x:c>
      <x:c r="B29" s="55" t="str">
        <x:f>'Country Ranking'!R25</x:f>
        <x:v>EWJ</x:v>
      </x:c>
      <x:c r="C29" s="54" t="n">
        <x:f>'Country Ranking'!P25</x:f>
        <x:v>6.775250000000001</x:v>
      </x:c>
      <x:c r="D29" s="52" t="n">
        <x:f>'Country Ranking'!M25</x:f>
        <x:v>0.2675</x:v>
      </x:c>
      <x:c r="E29" s="79" t="n">
        <x:f>C29/MAX(D29,10%)</x:f>
        <x:v>25.32803738317757</x:v>
      </x:c>
      <x:c r="F29" s="52" t="n">
        <x:f>E29/SUM($E$12:$E$31)</x:f>
        <x:v>0.035074283177968055</x:v>
      </x:c>
      <x:c r="G29" s="81" t="n">
        <x:v>0.06</x:v>
      </x:c>
      <x:c r="H29" s="52" t="n">
        <x:f>G29*$G$7</x:f>
        <x:v>0.039</x:v>
      </x:c>
      <x:c r="I29" s="75" t="n">
        <x:f>H29*$G$5</x:f>
        <x:v>39000</x:v>
      </x:c>
      <x:c r="J29" s="28" t="n">
        <x:v>0.4</x:v>
      </x:c>
      <x:c r="K29" s="75" t="n">
        <x:f>I29*J29</x:f>
        <x:v>15600</x:v>
      </x:c>
      <x:c r="L29" s="28" t="n">
        <x:v>0.3</x:v>
      </x:c>
      <x:c r="M29" s="75" t="n">
        <x:f>I29*L29</x:f>
        <x:v>11700</x:v>
      </x:c>
      <x:c r="N29" s="28" t="n">
        <x:v>0.3</x:v>
      </x:c>
      <x:c r="O29" s="75" t="n">
        <x:f>I29*N29</x:f>
        <x:v>11700</x:v>
      </x:c>
      <x:c r="P29" s="84" t="n">
        <x:v>91.94</x:v>
      </x:c>
      <x:c r="Q29" s="86" t="n">
        <x:f>ROUNDDOWN(K29/$G$6/P29,0)</x:f>
        <x:v>23</x:v>
      </x:c>
    </x:row>
    <x:row r="30">
      <x:c r="A30" s="55" t="str">
        <x:f>'Country Ranking'!B26</x:f>
        <x:v>墨西哥</x:v>
      </x:c>
      <x:c r="B30" s="55" t="str">
        <x:f>'Country Ranking'!R26</x:f>
        <x:v>EWW</x:v>
      </x:c>
      <x:c r="C30" s="54" t="n">
        <x:f>'Country Ranking'!P26</x:f>
        <x:v>6.749583333333333</x:v>
      </x:c>
      <x:c r="D30" s="52" t="n">
        <x:f>'Country Ranking'!M26</x:f>
        <x:v>0.1993</x:v>
      </x:c>
      <x:c r="E30" s="79" t="n">
        <x:f>C30/MAX(D30,10%)</x:f>
        <x:v>33.866449239003174</x:v>
      </x:c>
      <x:c r="F30" s="52" t="n">
        <x:f>E30/SUM($E$12:$E$31)</x:f>
        <x:v>0.046898281650121894</x:v>
      </x:c>
      <x:c r="G30" s="81" t="n">
        <x:v>0.03</x:v>
      </x:c>
      <x:c r="H30" s="52" t="n">
        <x:f>G30*$G$7</x:f>
        <x:v>0.0195</x:v>
      </x:c>
      <x:c r="I30" s="75" t="n">
        <x:f>H30*$G$5</x:f>
        <x:v>19500</x:v>
      </x:c>
      <x:c r="J30" s="28" t="n">
        <x:v>0.4</x:v>
      </x:c>
      <x:c r="K30" s="75" t="n">
        <x:f>I30*J30</x:f>
        <x:v>7800</x:v>
      </x:c>
      <x:c r="L30" s="28" t="n">
        <x:v>0.3</x:v>
      </x:c>
      <x:c r="M30" s="75" t="n">
        <x:f>I30*L30</x:f>
        <x:v>5850</x:v>
      </x:c>
      <x:c r="N30" s="28" t="n">
        <x:v>0.3</x:v>
      </x:c>
      <x:c r="O30" s="75" t="n">
        <x:f>I30*N30</x:f>
        <x:v>5850</x:v>
      </x:c>
      <x:c r="P30" s="84" t="n">
        <x:v>75</x:v>
      </x:c>
      <x:c r="Q30" s="86" t="n">
        <x:f>ROUNDDOWN(K30/$G$6/P30,0)</x:f>
        <x:v>14</x:v>
      </x:c>
    </x:row>
    <x:row r="31">
      <x:c r="A31" s="57" t="str">
        <x:f>'Country Ranking'!B27</x:f>
        <x:v>韩国</x:v>
      </x:c>
      <x:c r="B31" s="57" t="str">
        <x:f>'Country Ranking'!R27</x:f>
        <x:v>EWY</x:v>
      </x:c>
      <x:c r="C31" s="56" t="n">
        <x:f>'Country Ranking'!P27</x:f>
        <x:v>6.33625</x:v>
      </x:c>
      <x:c r="D31" s="53" t="n">
        <x:f>'Country Ranking'!M27</x:f>
        <x:v>0.7964</x:v>
      </x:c>
      <x:c r="E31" s="80" t="n">
        <x:f>C31/MAX(D31,10%)</x:f>
        <x:v>7.956115017579106</x:v>
      </x:c>
      <x:c r="F31" s="53" t="n">
        <x:f>E31/SUM($E$12:$E$31)</x:f>
        <x:v>0.01101763341949255</x:v>
      </x:c>
      <x:c r="G31" s="82" t="n">
        <x:v>0.03</x:v>
      </x:c>
      <x:c r="H31" s="53" t="n">
        <x:f>G31*$G$7</x:f>
        <x:v>0.0195</x:v>
      </x:c>
      <x:c r="I31" s="76" t="n">
        <x:f>H31*$G$5</x:f>
        <x:v>19500</x:v>
      </x:c>
      <x:c r="J31" s="83" t="n">
        <x:v>0.25</x:v>
      </x:c>
      <x:c r="K31" s="76" t="n">
        <x:f>I31*J31</x:f>
        <x:v>4875</x:v>
      </x:c>
      <x:c r="L31" s="83" t="n">
        <x:v>0.35</x:v>
      </x:c>
      <x:c r="M31" s="76" t="n">
        <x:f>I31*L31</x:f>
        <x:v>6825</x:v>
      </x:c>
      <x:c r="N31" s="83" t="n">
        <x:v>0.4</x:v>
      </x:c>
      <x:c r="O31" s="76" t="n">
        <x:f>I31*N31</x:f>
        <x:v>7800</x:v>
      </x:c>
      <x:c r="P31" s="85" t="n">
        <x:v>169.39</x:v>
      </x:c>
      <x:c r="Q31" s="87" t="n">
        <x:f>ROUNDDOWN(K31/$G$6/P31,0)</x:f>
        <x:v>3</x:v>
      </x:c>
    </x:row>
    <x:row r="33" ht="28" customHeight="1">
      <x:c r="A33" s="20" t="str">
        <x:v>执行规则</x:v>
      </x:c>
      <x:c r="B33" s="21" t="str">
        <x:v>触发条件</x:v>
      </x:c>
      <x:c r="C33" s="21" t="str">
        <x:v>动作</x:v>
      </x:c>
      <x:c r="D33" s="21" t="str">
        <x:v>仓位上限</x:v>
      </x:c>
      <x:c r="E33" s="21" t="str">
        <x:v>复核频率</x:v>
      </x:c>
      <x:c r="F33" s="21" t="str">
        <x:v>失败条件</x:v>
      </x:c>
      <x:c r="G33" s="22" t="str">
        <x:v>备注</x:v>
      </x:c>
    </x:row>
    <x:row r="34" ht="38" customHeight="1">
      <x:c r="A34" s="64" t="str">
        <x:v>分批建仓</x:v>
      </x:c>
      <x:c r="B34" s="64" t="str">
        <x:v>当前/回撤8%/回撤15%</x:v>
      </x:c>
      <x:c r="C34" s="64" t="str">
        <x:v>普通国家40%/30%/30%</x:v>
      </x:c>
      <x:c r="D34" s="64" t="str">
        <x:v>按目标仓</x:v>
      </x:c>
      <x:c r="E34" s="64" t="str">
        <x:v>每周</x:v>
      </x:c>
      <x:c r="F34" s="64" t="str">
        <x:v>基本面恶化</x:v>
      </x:c>
      <x:c r="G34" s="64" t="str">
        <x:v>中国台湾/韩国用25%/35%/40%且回撤阈值更深</x:v>
      </x:c>
    </x:row>
    <x:row r="35" ht="38" customHeight="1">
      <x:c r="A35" s="64" t="str">
        <x:v>再平衡</x:v>
      </x:c>
      <x:c r="B35" s="64" t="str">
        <x:v>偏离目标≥2个百分点或相对偏离≥25%</x:v>
      </x:c>
      <x:c r="C35" s="64" t="str">
        <x:v>卖高买低</x:v>
      </x:c>
      <x:c r="D35" s="64" t="str">
        <x:v>单国≤权益篮子16%</x:v>
      </x:c>
      <x:c r="E35" s="64" t="str">
        <x:v>季度</x:v>
      </x:c>
      <x:c r="F35" s="64" t="str">
        <x:v>流动性异常</x:v>
      </x:c>
      <x:c r="G35" s="64" t="str">
        <x:v>税费与资本利得规则需另行评估</x:v>
      </x:c>
    </x:row>
    <x:row r="36" ht="38" customHeight="1">
      <x:c r="A36" s="64" t="str">
        <x:v>AI硬件集中</x:v>
      </x:c>
      <x:c r="B36" s="64" t="str">
        <x:v>台湾+韩国+马来西亚</x:v>
      </x:c>
      <x:c r="C36" s="64" t="str">
        <x:v>合计≤权益篮子12%</x:v>
      </x:c>
      <x:c r="D36" s="64" t="str">
        <x:v>12%</x:v>
      </x:c>
      <x:c r="E36" s="64" t="str">
        <x:v>月度</x:v>
      </x:c>
      <x:c r="F36" s="64" t="str">
        <x:v>地缘/订单下修</x:v>
      </x:c>
      <x:c r="G36" s="64" t="str">
        <x:v>避免把国家篮子变成单一AI交易</x:v>
      </x:c>
    </x:row>
    <x:row r="37" ht="38" customHeight="1">
      <x:c r="A37" s="64" t="str">
        <x:v>个股卫星</x:v>
      </x:c>
      <x:c r="B37" s="64" t="str">
        <x:v>仅在ETF映射不足时</x:v>
      </x:c>
      <x:c r="C37" s="64" t="str">
        <x:v>个股合计≤国家仓位30%</x:v>
      </x:c>
      <x:c r="D37" s="64" t="str">
        <x:v>单股≤总组合2%</x:v>
      </x:c>
      <x:c r="E37" s="64" t="str">
        <x:v>月度</x:v>
      </x:c>
      <x:c r="F37" s="64" t="str">
        <x:v>治理/流动性风险</x:v>
      </x:c>
      <x:c r="G37" s="64" t="str">
        <x:v>核心仓仍以ETF为主</x:v>
      </x:c>
    </x:row>
    <x:row r="38" ht="38" customHeight="1">
      <x:c r="A38" s="65" t="str">
        <x:v>汇率</x:v>
      </x:c>
      <x:c r="B38" s="65" t="str">
        <x:v>非人民币资产</x:v>
      </x:c>
      <x:c r="C38" s="65" t="str">
        <x:v>未对冲外汇≤总组合50%</x:v>
      </x:c>
      <x:c r="D38" s="65" t="str">
        <x:v>50%</x:v>
      </x:c>
      <x:c r="E38" s="65" t="str">
        <x:v>季度</x:v>
      </x:c>
      <x:c r="F38" s="65" t="str">
        <x:v>人民币趋势突变</x:v>
      </x:c>
      <x:c r="G38" s="65" t="str">
        <x:v>可用分批换汇降低择时风险</x:v>
      </x:c>
    </x:row>
  </x:sheetData>
  <x:mergeCells>
    <x:mergeCell ref="A1:Q1"/>
    <x:mergeCell ref="A2:Q2"/>
  </x:mergeCells>
  <x:conditionalFormatting sqref="F12:G3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{48EB47FE-1DBA-977D-F985-6B6679B66C35}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8EB47FE-1DBA-977D-F985-6B6679B66C35}">
            <x14:dataBar gradient="1">
              <x14:cfvo type="min"/>
              <x14:cfvo type="max"/>
              <x14:fillColor rgb="FF4472C4"/>
            </x14:dataBar>
          </x14:cfRule>
          <xm:sqref>F12:G31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97" t="str">
        <x:v>12个月情景分析与风险预算</x:v>
      </x:c>
    </x:row>
    <x:row r="2" ht="30" customHeight="1">
      <x:c r="A2" s="8" t="str">
        <x:v>以下回报是压力测试假设，不是收益承诺。总组合=65%二十国股票+20%短债+10%黄金+5%现金。</x:v>
      </x:c>
    </x:row>
    <x:row r="4" ht="28" customHeight="1">
      <x:c r="A4" s="20" t="str">
        <x:v>情景</x:v>
      </x:c>
      <x:c r="B4" s="21" t="str">
        <x:v>概率</x:v>
      </x:c>
      <x:c r="C4" s="21" t="str">
        <x:v>20国股票</x:v>
      </x:c>
      <x:c r="D4" s="21" t="str">
        <x:v>短债</x:v>
      </x:c>
      <x:c r="E4" s="21" t="str">
        <x:v>黄金</x:v>
      </x:c>
      <x:c r="F4" s="21" t="str">
        <x:v>现金</x:v>
      </x:c>
      <x:c r="G4" s="21" t="str">
        <x:v>总组合回报</x:v>
      </x:c>
      <x:c r="H4" s="22" t="str">
        <x:v>概率贡献</x:v>
      </x:c>
    </x:row>
    <x:row r="5">
      <x:c r="A5" s="25" t="str">
        <x:v>基准：AI投资延续、能源冲击缓解</x:v>
      </x:c>
      <x:c r="B5" s="88" t="n">
        <x:v>0.55</x:v>
      </x:c>
      <x:c r="C5" s="88" t="n">
        <x:v>0.1</x:v>
      </x:c>
      <x:c r="D5" s="88" t="n">
        <x:v>0.04</x:v>
      </x:c>
      <x:c r="E5" s="88" t="n">
        <x:v>0.03</x:v>
      </x:c>
      <x:c r="F5" s="88" t="n">
        <x:v>0.03</x:v>
      </x:c>
      <x:c r="G5" s="89" t="n">
        <x:f>C5*'Model Inputs'!$B$5+D5*'Model Inputs'!$B$6+E5*'Model Inputs'!$B$7+F5*'Model Inputs'!$B$8</x:f>
        <x:v>0.07750000000000001</x:v>
      </x:c>
      <x:c r="H5" s="89" t="n">
        <x:f>B5*G5</x:f>
        <x:v>0.04262500000000001</x:v>
      </x:c>
    </x:row>
    <x:row r="6">
      <x:c r="A6" s="25" t="str">
        <x:v>上行：生产率兑现、油价回落、盈利扩散</x:v>
      </x:c>
      <x:c r="B6" s="88" t="n">
        <x:v>0.2</x:v>
      </x:c>
      <x:c r="C6" s="88" t="n">
        <x:v>0.2</x:v>
      </x:c>
      <x:c r="D6" s="88" t="n">
        <x:v>0.01</x:v>
      </x:c>
      <x:c r="E6" s="88" t="n">
        <x:v>-0.04</x:v>
      </x:c>
      <x:c r="F6" s="88" t="n">
        <x:v>0.03</x:v>
      </x:c>
      <x:c r="G6" s="89" t="n">
        <x:f>C6*'Model Inputs'!$B$5+D6*'Model Inputs'!$B$6+E6*'Model Inputs'!$B$7+F6*'Model Inputs'!$B$8</x:f>
        <x:v>0.1295</x:v>
      </x:c>
      <x:c r="H6" s="89" t="n">
        <x:f>B6*G6</x:f>
        <x:v>0.025900000000000003</x:v>
      </x:c>
    </x:row>
    <x:row r="7">
      <x:c r="A7" s="25" t="str">
        <x:v>下行：霍尔木兹受阻/AI估值修正</x:v>
      </x:c>
      <x:c r="B7" s="88" t="n">
        <x:v>0.25</x:v>
      </x:c>
      <x:c r="C7" s="88" t="n">
        <x:v>-0.22</x:v>
      </x:c>
      <x:c r="D7" s="88" t="n">
        <x:v>0.06</x:v>
      </x:c>
      <x:c r="E7" s="88" t="n">
        <x:v>0.12</x:v>
      </x:c>
      <x:c r="F7" s="88" t="n">
        <x:v>0.03</x:v>
      </x:c>
      <x:c r="G7" s="89" t="n">
        <x:f>C7*'Model Inputs'!$B$5+D7*'Model Inputs'!$B$6+E7*'Model Inputs'!$B$7+F7*'Model Inputs'!$B$8</x:f>
        <x:v>-0.11750000000000001</x:v>
      </x:c>
      <x:c r="H7" s="89" t="n">
        <x:f>B7*G7</x:f>
        <x:v>-0.029375000000000002</x:v>
      </x:c>
    </x:row>
    <x:row r="8">
      <x:c r="A8" s="26" t="str">
        <x:v>概率加权期望</x:v>
      </x:c>
      <x:c r="B8" s="39" t="n">
        <x:f>SUM(B5:B7)</x:f>
        <x:v>1</x:v>
      </x:c>
      <x:c r="C8" s="39"/>
      <x:c r="D8" s="39"/>
      <x:c r="E8" s="39"/>
      <x:c r="F8" s="39"/>
      <x:c r="G8" s="90" t="n">
        <x:f>SUM(H5:H7)</x:f>
        <x:v>0.03915000000000002</x:v>
      </x:c>
      <x:c r="H8" s="90"/>
    </x:row>
    <x:row r="10" ht="28" customHeight="1">
      <x:c r="A10" s="20" t="str">
        <x:v>风险指标</x:v>
      </x:c>
      <x:c r="B10" s="21" t="str">
        <x:v>目标/阈值</x:v>
      </x:c>
      <x:c r="C10" s="21" t="str">
        <x:v>管理动作</x:v>
      </x:c>
      <x:c r="D10" s="22" t="str">
        <x:v>说明</x:v>
      </x:c>
    </x:row>
    <x:row r="11">
      <x:c r="A11" s="64" t="str">
        <x:v>目标年化波动</x:v>
      </x:c>
      <x:c r="B11" s="64" t="str">
        <x:v>约10%-13%（总组合）</x:v>
      </x:c>
      <x:c r="C11" s="64" t="str">
        <x:v>股票仓不超过65%</x:v>
      </x:c>
      <x:c r="D11" s="64" t="str">
        <x:v>基于分散化假设，非历史回测承诺</x:v>
      </x:c>
    </x:row>
    <x:row r="12">
      <x:c r="A12" s="64" t="str">
        <x:v>权益压力回撤</x:v>
      </x:c>
      <x:c r="B12" s="64" t="str">
        <x:v>-30%至-40%</x:v>
      </x:c>
      <x:c r="C12" s="64" t="str">
        <x:v>总组合压力约-12%至-20%</x:v>
      </x:c>
      <x:c r="D12" s="64" t="str">
        <x:v>AI与地缘双重冲击时可能更差</x:v>
      </x:c>
    </x:row>
    <x:row r="13">
      <x:c r="A13" s="64" t="str">
        <x:v>单国上限</x:v>
      </x:c>
      <x:c r="B13" s="64" t="str">
        <x:v>权益篮子16%</x:v>
      </x:c>
      <x:c r="C13" s="64" t="str">
        <x:v>美国为上限锚；其余≤9%</x:v>
      </x:c>
      <x:c r="D13" s="64" t="str">
        <x:v>防止单一市场主导</x:v>
      </x:c>
    </x:row>
    <x:row r="14">
      <x:c r="A14" s="64" t="str">
        <x:v>行业主题上限</x:v>
      </x:c>
      <x:c r="B14" s="64" t="str">
        <x:v>AI硬件12%</x:v>
      </x:c>
      <x:c r="C14" s="64" t="str">
        <x:v>台湾+韩国+马来西亚合计</x:v>
      </x:c>
      <x:c r="D14" s="64" t="str">
        <x:v>按权益篮子内部权重计</x:v>
      </x:c>
    </x:row>
    <x:row r="15">
      <x:c r="A15" s="64" t="str">
        <x:v>再平衡阈值</x:v>
      </x:c>
      <x:c r="B15" s="64" t="str">
        <x:v>绝对2个百分点或相对25%</x:v>
      </x:c>
      <x:c r="C15" s="64" t="str">
        <x:v>季度执行</x:v>
      </x:c>
      <x:c r="D15" s="64" t="str">
        <x:v>降低追涨杀跌</x:v>
      </x:c>
    </x:row>
    <x:row r="16">
      <x:c r="A16" s="65" t="str">
        <x:v>复核红线</x:v>
      </x:c>
      <x:c r="B16" s="65" t="str">
        <x:v>GDP/盈利/政策至少2项恶化</x:v>
      </x:c>
      <x:c r="C16" s="65" t="str">
        <x:v>暂停加仓并重估</x:v>
      </x:c>
      <x:c r="D16" s="65" t="str">
        <x:v>价格下跌本身不是卖出理由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34" customHeight="1">
      <x:c r="A1" s="97" t="str">
        <x:v>2026全球经济前20国：产业与投资量化总览</x:v>
      </x:c>
    </x:row>
    <x:row r="2" ht="30" customHeight="1">
      <x:c r="A2" s="8" t="str">
        <x:v>基准日 2026-07-24｜默认人民币投资者、美元计价、3-5年、中等风险｜结论先看“价格是否透支”，再看GDP。</x:v>
      </x:c>
    </x:row>
    <x:row r="4" ht="28" customHeight="1">
      <x:c r="A4" s="20" t="str">
        <x:v>全球宏观</x:v>
      </x:c>
      <x:c r="B4" s="21" t="str">
        <x:v>IMF 2026</x:v>
      </x:c>
      <x:c r="C4" s="21" t="str">
        <x:v>IMF 2027</x:v>
      </x:c>
      <x:c r="D4" s="22" t="str">
        <x:v>模型权益仓</x:v>
      </x:c>
    </x:row>
    <x:row r="5">
      <x:c r="A5" s="25" t="str">
        <x:v>实际GDP增长</x:v>
      </x:c>
      <x:c r="B5" s="38" t="n">
        <x:v>0.03</x:v>
      </x:c>
      <x:c r="C5" s="38" t="n">
        <x:v>0.034</x:v>
      </x:c>
      <x:c r="D5" s="89" t="n">
        <x:f>'Model Inputs'!B5</x:f>
        <x:v>0.65</x:v>
      </x:c>
    </x:row>
    <x:row r="6">
      <x:c r="A6" s="26" t="str">
        <x:v>全球通胀</x:v>
      </x:c>
      <x:c r="B6" s="39" t="n">
        <x:v>0.047</x:v>
      </x:c>
      <x:c r="C6" s="39" t="n">
        <x:v>0.039</x:v>
      </x:c>
      <x:c r="D6" s="39"/>
    </x:row>
    <x:row r="8" ht="28" customHeight="1">
      <x:c r="A8" s="20" t="str">
        <x:v>排名</x:v>
      </x:c>
      <x:c r="B8" s="21" t="str">
        <x:v>国家/地区</x:v>
      </x:c>
      <x:c r="C8" s="21" t="str">
        <x:v>综合分</x:v>
      </x:c>
      <x:c r="D8" s="21" t="str">
        <x:v>2026增长</x:v>
      </x:c>
      <x:c r="E8" s="21" t="str">
        <x:v>ETF P/E</x:v>
      </x:c>
      <x:c r="F8" s="22" t="str">
        <x:v>投资建议</x:v>
      </x:c>
    </x:row>
    <x:row r="9">
      <x:c r="A9" s="55" t="n">
        <x:f>'Country Ranking'!A8</x:f>
        <x:v>1</x:v>
      </x:c>
      <x:c r="B9" s="31" t="str">
        <x:f>'Country Ranking'!B8</x:f>
        <x:v>新加坡</x:v>
      </x:c>
      <x:c r="C9" s="54" t="n">
        <x:f>'Country Ranking'!P8</x:f>
        <x:v>7.809449999999999</x:v>
      </x:c>
      <x:c r="D9" s="52" t="n">
        <x:f>'Country Ranking'!C8</x:f>
        <x:v>0.03</x:v>
      </x:c>
      <x:c r="E9" s="91" t="n">
        <x:f>IF('Country Ranking'!I8="","",'Country Ranking'!I8)</x:f>
        <x:v>18.42</x:v>
      </x:c>
      <x:c r="F9" s="55" t="str">
        <x:f>'Country Ranking'!Q8</x:f>
        <x:v>超配</x:v>
      </x:c>
    </x:row>
    <x:row r="10">
      <x:c r="A10" s="55" t="n">
        <x:f>'Country Ranking'!A9</x:f>
        <x:v>2</x:v>
      </x:c>
      <x:c r="B10" s="31" t="str">
        <x:f>'Country Ranking'!B9</x:f>
        <x:v>马来西亚</x:v>
      </x:c>
      <x:c r="C10" s="54" t="n">
        <x:f>'Country Ranking'!P9</x:f>
        <x:v>7.693483333333333</x:v>
      </x:c>
      <x:c r="D10" s="52" t="n">
        <x:f>'Country Ranking'!C9</x:f>
        <x:v>0.047</x:v>
      </x:c>
      <x:c r="E10" s="91" t="n">
        <x:f>IF('Country Ranking'!I9="","",'Country Ranking'!I9)</x:f>
        <x:v>15.06</x:v>
      </x:c>
      <x:c r="F10" s="55" t="str">
        <x:f>'Country Ranking'!Q9</x:f>
        <x:v>超配</x:v>
      </x:c>
    </x:row>
    <x:row r="11">
      <x:c r="A11" s="55" t="n">
        <x:f>'Country Ranking'!A10</x:f>
        <x:v>3</x:v>
      </x:c>
      <x:c r="B11" s="31" t="str">
        <x:f>'Country Ranking'!B10</x:f>
        <x:v>印度</x:v>
      </x:c>
      <x:c r="C11" s="54" t="n">
        <x:f>'Country Ranking'!P10</x:f>
        <x:v>7.674899999999999</x:v>
      </x:c>
      <x:c r="D11" s="52" t="n">
        <x:f>'Country Ranking'!C10</x:f>
        <x:v>0.064</x:v>
      </x:c>
      <x:c r="E11" s="91" t="n">
        <x:f>IF('Country Ranking'!I10="","",'Country Ranking'!I10)</x:f>
        <x:v>22.66</x:v>
      </x:c>
      <x:c r="F11" s="55" t="str">
        <x:f>'Country Ranking'!Q10</x:f>
        <x:v>超配</x:v>
      </x:c>
    </x:row>
    <x:row r="12">
      <x:c r="A12" s="55" t="n">
        <x:f>'Country Ranking'!A11</x:f>
        <x:v>4</x:v>
      </x:c>
      <x:c r="B12" s="31" t="str">
        <x:f>'Country Ranking'!B11</x:f>
        <x:v>中国</x:v>
      </x:c>
      <x:c r="C12" s="54" t="n">
        <x:f>'Country Ranking'!P11</x:f>
        <x:v>7.484883333333333</x:v>
      </x:c>
      <x:c r="D12" s="52" t="n">
        <x:f>'Country Ranking'!C11</x:f>
        <x:v>0.046</x:v>
      </x:c>
      <x:c r="E12" s="91" t="n">
        <x:f>IF('Country Ranking'!I11="","",'Country Ranking'!I11)</x:f>
        <x:v>13.68</x:v>
      </x:c>
      <x:c r="F12" s="55" t="str">
        <x:f>'Country Ranking'!Q11</x:f>
        <x:v>超配</x:v>
      </x:c>
    </x:row>
    <x:row r="13">
      <x:c r="A13" s="55" t="n">
        <x:f>'Country Ranking'!A12</x:f>
        <x:v>5</x:v>
      </x:c>
      <x:c r="B13" s="31" t="str">
        <x:f>'Country Ranking'!B12</x:f>
        <x:v>丹麦</x:v>
      </x:c>
      <x:c r="C13" s="54" t="n">
        <x:f>'Country Ranking'!P12</x:f>
        <x:v>7.368366666666667</x:v>
      </x:c>
      <x:c r="D13" s="52" t="n">
        <x:f>'Country Ranking'!C12</x:f>
        <x:v>0.025</x:v>
      </x:c>
      <x:c r="E13" s="91" t="n">
        <x:f>IF('Country Ranking'!I12="","",'Country Ranking'!I12)</x:f>
        <x:v>16.51</x:v>
      </x:c>
      <x:c r="F13" s="55" t="str">
        <x:f>'Country Ranking'!Q12</x:f>
        <x:v>标配</x:v>
      </x:c>
    </x:row>
    <x:row r="14">
      <x:c r="A14" s="55" t="n">
        <x:f>'Country Ranking'!A13</x:f>
        <x:v>6</x:v>
      </x:c>
      <x:c r="B14" s="31" t="str">
        <x:f>'Country Ranking'!B13</x:f>
        <x:v>瑞典</x:v>
      </x:c>
      <x:c r="C14" s="54" t="n">
        <x:f>'Country Ranking'!P13</x:f>
        <x:v>7.344516666666667</x:v>
      </x:c>
      <x:c r="D14" s="52" t="n">
        <x:f>'Country Ranking'!C13</x:f>
        <x:v>0.019</x:v>
      </x:c>
      <x:c r="E14" s="91" t="n">
        <x:f>IF('Country Ranking'!I13="","",'Country Ranking'!I13)</x:f>
        <x:v>18.15</x:v>
      </x:c>
      <x:c r="F14" s="55" t="str">
        <x:f>'Country Ranking'!Q13</x:f>
        <x:v>标配</x:v>
      </x:c>
    </x:row>
    <x:row r="15">
      <x:c r="A15" s="55" t="n">
        <x:f>'Country Ranking'!A14</x:f>
        <x:v>7</x:v>
      </x:c>
      <x:c r="B15" s="31" t="str">
        <x:f>'Country Ranking'!B14</x:f>
        <x:v>中国台湾</x:v>
      </x:c>
      <x:c r="C15" s="54" t="n">
        <x:f>'Country Ranking'!P14</x:f>
        <x:v>7.3184</x:v>
      </x:c>
      <x:c r="D15" s="52" t="n">
        <x:f>'Country Ranking'!C14</x:f>
        <x:v>0.0964</x:v>
      </x:c>
      <x:c r="E15" s="91" t="n">
        <x:f>IF('Country Ranking'!I14="","",'Country Ranking'!I14)</x:f>
        <x:v>31.23</x:v>
      </x:c>
      <x:c r="F15" s="55" t="str">
        <x:f>'Country Ranking'!Q14</x:f>
        <x:v>观察/回撤买入</x:v>
      </x:c>
    </x:row>
    <x:row r="16">
      <x:c r="A16" s="55" t="n">
        <x:f>'Country Ranking'!A15</x:f>
        <x:v>8</x:v>
      </x:c>
      <x:c r="B16" s="31" t="str">
        <x:f>'Country Ranking'!B15</x:f>
        <x:v>越南</x:v>
      </x:c>
      <x:c r="C16" s="54" t="n">
        <x:f>'Country Ranking'!P15</x:f>
        <x:v>7.243499999999999</x:v>
      </x:c>
      <x:c r="D16" s="52" t="n">
        <x:f>'Country Ranking'!C15</x:f>
        <x:v>0.068</x:v>
      </x:c>
      <x:c r="E16" s="91" t="str">
        <x:f>IF('Country Ranking'!I15="","",'Country Ranking'!I15)</x:f>
      </x:c>
      <x:c r="F16" s="55" t="str">
        <x:f>'Country Ranking'!Q15</x:f>
        <x:v>标配</x:v>
      </x:c>
    </x:row>
    <x:row r="17">
      <x:c r="A17" s="55" t="n">
        <x:f>'Country Ranking'!A16</x:f>
        <x:v>9</x:v>
      </x:c>
      <x:c r="B17" s="31" t="str">
        <x:f>'Country Ranking'!B16</x:f>
        <x:v>挪威</x:v>
      </x:c>
      <x:c r="C17" s="54" t="n">
        <x:f>'Country Ranking'!P16</x:f>
        <x:v>7.1609</x:v>
      </x:c>
      <x:c r="D17" s="52" t="n">
        <x:f>'Country Ranking'!C16</x:f>
        <x:v>0.013000000000000001</x:v>
      </x:c>
      <x:c r="E17" s="91" t="n">
        <x:f>IF('Country Ranking'!I16="","",'Country Ranking'!I16)</x:f>
        <x:v>14.92</x:v>
      </x:c>
      <x:c r="F17" s="55" t="str">
        <x:f>'Country Ranking'!Q16</x:f>
        <x:v>标配</x:v>
      </x:c>
    </x:row>
    <x:row r="18">
      <x:c r="A18" s="57" t="n">
        <x:f>'Country Ranking'!A17</x:f>
        <x:v>10</x:v>
      </x:c>
      <x:c r="B18" s="32" t="str">
        <x:f>'Country Ranking'!B17</x:f>
        <x:v>印度尼西亚</x:v>
      </x:c>
      <x:c r="C18" s="56" t="n">
        <x:f>'Country Ranking'!P17</x:f>
        <x:v>7.158533333333334</x:v>
      </x:c>
      <x:c r="D18" s="53" t="n">
        <x:f>'Country Ranking'!C17</x:f>
        <x:v>0.05</x:v>
      </x:c>
      <x:c r="E18" s="92" t="n">
        <x:f>IF('Country Ranking'!I17="","",'Country Ranking'!I17)</x:f>
        <x:v>9.8</x:v>
      </x:c>
      <x:c r="F18" s="57" t="str">
        <x:f>'Country Ranking'!Q17</x:f>
        <x:v>标配</x:v>
      </x:c>
    </x:row>
    <x:row r="22" ht="28" customHeight="1">
      <x:c r="A22" s="20" t="str">
        <x:v>资产类别</x:v>
      </x:c>
      <x:c r="B22" s="21" t="str">
        <x:v>总组合权重</x:v>
      </x:c>
      <x:c r="C22" s="21" t="str">
        <x:v>100万元金额</x:v>
      </x:c>
      <x:c r="D22" s="22" t="str">
        <x:v>作用</x:v>
      </x:c>
    </x:row>
    <x:row r="23">
      <x:c r="A23" s="25" t="str">
        <x:v>20国股票篮子</x:v>
      </x:c>
      <x:c r="B23" s="73" t="n">
        <x:f>'Model Inputs'!B5</x:f>
        <x:v>0.65</x:v>
      </x:c>
      <x:c r="C23" s="75" t="n">
        <x:f>B23*1000000</x:f>
        <x:v>650000</x:v>
      </x:c>
      <x:c r="D23" s="25" t="str">
        <x:v>增长与产业升级</x:v>
      </x:c>
    </x:row>
    <x:row r="24">
      <x:c r="A24" s="25" t="str">
        <x:v>1-3年美债</x:v>
      </x:c>
      <x:c r="B24" s="73" t="n">
        <x:f>'Model Inputs'!B6</x:f>
        <x:v>0.2</x:v>
      </x:c>
      <x:c r="C24" s="75" t="n">
        <x:f>B24*1000000</x:f>
        <x:v>200000</x:v>
      </x:c>
      <x:c r="D24" s="25" t="str">
        <x:v>防守与再平衡资金</x:v>
      </x:c>
    </x:row>
    <x:row r="25">
      <x:c r="A25" s="25" t="str">
        <x:v>黄金</x:v>
      </x:c>
      <x:c r="B25" s="73" t="n">
        <x:f>'Model Inputs'!B7</x:f>
        <x:v>0.1</x:v>
      </x:c>
      <x:c r="C25" s="75" t="n">
        <x:f>B25*1000000</x:f>
        <x:v>100000</x:v>
      </x:c>
      <x:c r="D25" s="25" t="str">
        <x:v>地缘/通胀尾部对冲</x:v>
      </x:c>
    </x:row>
    <x:row r="26">
      <x:c r="A26" s="25" t="str">
        <x:v>现金</x:v>
      </x:c>
      <x:c r="B26" s="73" t="n">
        <x:f>'Model Inputs'!B8</x:f>
        <x:v>0.05</x:v>
      </x:c>
      <x:c r="C26" s="75" t="n">
        <x:f>B26*1000000</x:f>
        <x:v>50000</x:v>
      </x:c>
      <x:c r="D26" s="25" t="str">
        <x:v>等待回撤</x:v>
      </x:c>
    </x:row>
    <x:row r="27">
      <x:c r="A27" s="26" t="str">
        <x:v>合计</x:v>
      </x:c>
      <x:c r="B27" s="74" t="n">
        <x:f>SUM(B23:B26)</x:f>
        <x:v>1</x:v>
      </x:c>
      <x:c r="C27" s="76" t="n">
        <x:f>SUM(C23:C26)</x:f>
        <x:v>1000000</x:v>
      </x:c>
      <x:c r="D27" s="26" t="str"/>
    </x:row>
    <x:row r="30" ht="28" customHeight="1">
      <x:c r="A30" s="20" t="str">
        <x:v>结论</x:v>
      </x:c>
      <x:c r="B30" s="21" t="str">
        <x:v>量化动作</x:v>
      </x:c>
      <x:c r="C30" s="21" t="str">
        <x:v>理由</x:v>
      </x:c>
      <x:c r="D30" s="21" t="str">
        <x:v>触发器</x:v>
      </x:c>
      <x:c r="E30" s="21" t="str">
        <x:v>风险上限</x:v>
      </x:c>
      <x:c r="F30" s="22" t="str">
        <x:v>重点页</x:v>
      </x:c>
    </x:row>
    <x:row r="31" ht="42" customHeight="1">
      <x:c r="A31" s="64" t="str">
        <x:v>不追台湾/韩国</x:v>
      </x:c>
      <x:c r="B31" s="64" t="str">
        <x:v>仅回撤分批</x:v>
      </x:c>
      <x:c r="C31" s="64" t="str">
        <x:v>经济和AI景气最强，但涨幅/波动已显著透支</x:v>
      </x:c>
      <x:c r="D31" s="64" t="str">
        <x:v>回撤12%-25%</x:v>
      </x:c>
      <x:c r="E31" s="64" t="str">
        <x:v>AI硬件三国≤权益12%</x:v>
      </x:c>
      <x:c r="F31" s="64" t="str">
        <x:v>Country Ranking / Portfolio</x:v>
      </x:c>
    </x:row>
    <x:row r="32" ht="42" customHeight="1">
      <x:c r="A32" s="64" t="str">
        <x:v>优先均衡市场</x:v>
      </x:c>
      <x:c r="B32" s="64" t="str">
        <x:v>超配/标配马来西亚、印度、中国、新加坡</x:v>
      </x:c>
      <x:c r="C32" s="64" t="str">
        <x:v>增长、估值与可投性更平衡</x:v>
      </x:c>
      <x:c r="D32" s="64" t="str">
        <x:v>估值阈值+盈利趋势</x:v>
      </x:c>
      <x:c r="E32" s="64" t="str">
        <x:v>单国≤权益9%</x:v>
      </x:c>
      <x:c r="F32" s="64" t="str">
        <x:v>Industry Thesis</x:v>
      </x:c>
    </x:row>
    <x:row r="33" ht="42" customHeight="1">
      <x:c r="A33" s="64" t="str">
        <x:v>保留防守资产</x:v>
      </x:c>
      <x:c r="B33" s="64" t="str">
        <x:v>35%短债+黄金+现金</x:v>
      </x:c>
      <x:c r="C33" s="64" t="str">
        <x:v>IMF/WB均提示能源与地缘尾部风险</x:v>
      </x:c>
      <x:c r="D33" s="64" t="str">
        <x:v>季度再平衡</x:v>
      </x:c>
      <x:c r="E33" s="64" t="str">
        <x:v>股票≤总组合65%</x:v>
      </x:c>
      <x:c r="F33" s="64" t="str">
        <x:v>Scenarios</x:v>
      </x:c>
    </x:row>
    <x:row r="34" ht="42" customHeight="1">
      <x:c r="A34" s="64" t="str">
        <x:v>国家故事≠ETF</x:v>
      </x:c>
      <x:c r="B34" s="64" t="str">
        <x:v>核验ETF行业权重</x:v>
      </x:c>
      <x:c r="C34" s="64" t="str">
        <x:v>越南VNM IT权重低，无法完整代表AI出口链</x:v>
      </x:c>
      <x:c r="D34" s="64" t="str">
        <x:v>个股卫星≤国家仓30%</x:v>
      </x:c>
      <x:c r="E34" s="64" t="str">
        <x:v>单股≤总组合2%</x:v>
      </x:c>
      <x:c r="F34" s="64" t="str">
        <x:v>Industry Thesis</x:v>
      </x:c>
    </x:row>
    <x:row r="35" ht="42" customHeight="1">
      <x:c r="A35" s="65" t="str">
        <x:v>按规则更新</x:v>
      </x:c>
      <x:c r="B35" s="65" t="str">
        <x:v>每季度更新GDP、P/E、盈利和政策</x:v>
      </x:c>
      <x:c r="C35" s="65" t="str">
        <x:v>模型输入均可编辑，跨表公式自动更新</x:v>
      </x:c>
      <x:c r="D35" s="65" t="str">
        <x:v>偏离2个百分点或25%</x:v>
      </x:c>
      <x:c r="E35" s="65" t="str">
        <x:v>复核失败条件</x:v>
      </x:c>
      <x:c r="F35" s="65" t="str">
        <x:v>Sources &amp; Checks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115b762502fe4b82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5" hidden="0" customWidth="1"/>
    <x:col min="4" max="4" width="24" hidden="0" customWidth="1"/>
    <x:col min="5" max="5" width="14" hidden="0" customWidth="1"/>
    <x:col min="6" max="6" width="20" hidden="0" customWidth="1"/>
    <x:col min="7" max="7" width="70" hidden="0" customWidth="1"/>
    <x:col min="8" max="8" width="50" hidden="0" customWidth="1"/>
  </x:cols>
  <x:sheetData>
    <x:row r="1" ht="34" customHeight="1">
      <x:c r="A1" s="97" t="str">
        <x:v>来源、口径与模型检查</x:v>
      </x:c>
    </x:row>
    <x:row r="2" ht="30" customHeight="1">
      <x:c r="A2" s="8" t="str">
        <x:v>宏观数据优先采用2026年7月IMF、2026年6月OECD/World Bank及各经济体最新官方口径；ETF估值来自发行人，价格与收益来自IBKR快照。</x:v>
      </x:c>
    </x:row>
    <x:row r="4" ht="28" customHeight="1">
      <x:c r="A4" s="20" t="str">
        <x:v>检查项</x:v>
      </x:c>
      <x:c r="B4" s="21" t="str">
        <x:v>公式结果</x:v>
      </x:c>
      <x:c r="C4" s="21" t="str">
        <x:v>目标</x:v>
      </x:c>
      <x:c r="D4" s="22" t="str">
        <x:v>状态</x:v>
      </x:c>
    </x:row>
    <x:row r="5">
      <x:c r="A5" s="25" t="str">
        <x:v>国家数量</x:v>
      </x:c>
      <x:c r="B5" s="50" t="n">
        <x:f>COUNTA('Country Ranking'!B8:B27)</x:f>
        <x:v>20</x:v>
      </x:c>
      <x:c r="C5" s="25" t="n">
        <x:v>20</x:v>
      </x:c>
      <x:c r="D5" s="50" t="str">
        <x:f>IF(B5=C5,"通过","检查")</x:f>
        <x:v>通过</x:v>
      </x:c>
    </x:row>
    <x:row r="6">
      <x:c r="A6" s="25" t="str">
        <x:v>20国权益权重</x:v>
      </x:c>
      <x:c r="B6" s="89" t="n">
        <x:f>SUM(Portfolio!G12:G31)</x:f>
        <x:v>1.0000000000000002</x:v>
      </x:c>
      <x:c r="C6" s="25" t="n">
        <x:v>1</x:v>
      </x:c>
      <x:c r="D6" s="50" t="str">
        <x:f>IF(ABS(B6-C6)&lt;0.0001,"通过","检查")</x:f>
        <x:v>通过</x:v>
      </x:c>
    </x:row>
    <x:row r="7">
      <x:c r="A7" s="25" t="str">
        <x:v>总资产权重</x:v>
      </x:c>
      <x:c r="B7" s="89" t="n">
        <x:f>SUM('Model Inputs'!B5:B8)</x:f>
        <x:v>1</x:v>
      </x:c>
      <x:c r="C7" s="25" t="n">
        <x:v>1</x:v>
      </x:c>
      <x:c r="D7" s="50" t="str">
        <x:f>IF(ABS(B7-C7)&lt;0.0001,"通过","检查")</x:f>
        <x:v>通过</x:v>
      </x:c>
    </x:row>
    <x:row r="8">
      <x:c r="A8" s="25" t="str">
        <x:v>情景概率</x:v>
      </x:c>
      <x:c r="B8" s="89" t="n">
        <x:f>SUM(Scenarios!B5:B7)</x:f>
        <x:v>1</x:v>
      </x:c>
      <x:c r="C8" s="25" t="n">
        <x:v>1</x:v>
      </x:c>
      <x:c r="D8" s="50" t="str">
        <x:f>IF(ABS(B8-C8)&lt;0.0001,"通过","检查")</x:f>
        <x:v>通过</x:v>
      </x:c>
    </x:row>
    <x:row r="9">
      <x:c r="A9" s="25" t="str">
        <x:v>综合分范围</x:v>
      </x:c>
      <x:c r="B9" s="50" t="str">
        <x:f>TEXT(MIN('Country Ranking'!P8:P27),"0.00")&amp;" - "&amp;TEXT(MAX('Country Ranking'!P8:P27),"0.00")</x:f>
        <x:v>6.34 - 7.81</x:v>
      </x:c>
      <x:c r="C9" s="25" t="str">
        <x:v>0-10</x:v>
      </x:c>
      <x:c r="D9" s="50" t="str">
        <x:f>IF(AND(MIN('Country Ranking'!P8:P27)&gt;=0,MAX('Country Ranking'!P8:P27)&lt;=10),"通过","检查")</x:f>
        <x:v>通过</x:v>
      </x:c>
    </x:row>
    <x:row r="10">
      <x:c r="A10" s="25" t="str">
        <x:v>来源数量</x:v>
      </x:c>
      <x:c r="B10" s="50" t="n">
        <x:f>32</x:f>
        <x:v>32</x:v>
      </x:c>
      <x:c r="C10" s="25" t="str">
        <x:v>≥20</x:v>
      </x:c>
      <x:c r="D10" s="50" t="str">
        <x:f>IF(B10&gt;=20,"通过","检查")</x:f>
        <x:v>通过</x:v>
      </x:c>
    </x:row>
    <x:row r="11">
      <x:c r="A11" s="26" t="str">
        <x:v>模型版本</x:v>
      </x:c>
      <x:c r="B11" s="26" t="str">
        <x:v>2026-07-24 v1.0</x:v>
      </x:c>
      <x:c r="C11" s="26" t="str">
        <x:v>最新</x:v>
      </x:c>
      <x:c r="D11" s="26" t="str">
        <x:v>信息</x:v>
      </x:c>
    </x:row>
    <x:row r="13" ht="28" customHeight="1">
      <x:c r="A13" s="20" t="str">
        <x:v>ID</x:v>
      </x:c>
      <x:c r="B13" s="21" t="str">
        <x:v>类别</x:v>
      </x:c>
      <x:c r="C13" s="21" t="str">
        <x:v>国家/指标</x:v>
      </x:c>
      <x:c r="D13" s="21" t="str">
        <x:v>数据项</x:v>
      </x:c>
      <x:c r="E13" s="21" t="str">
        <x:v>数据日期</x:v>
      </x:c>
      <x:c r="F13" s="21" t="str">
        <x:v>机构</x:v>
      </x:c>
      <x:c r="G13" s="21" t="str">
        <x:v>URL</x:v>
      </x:c>
      <x:c r="H13" s="22" t="str">
        <x:v>备注</x:v>
      </x:c>
    </x:row>
    <x:row r="14" ht="36" customHeight="1">
      <x:c r="A14" s="64" t="str">
        <x:v>M1</x:v>
      </x:c>
      <x:c r="B14" s="64" t="str">
        <x:v>宏观</x:v>
      </x:c>
      <x:c r="C14" s="64" t="str">
        <x:v>多国</x:v>
      </x:c>
      <x:c r="D14" s="64" t="str">
        <x:v>2026/2027 GDP预测</x:v>
      </x:c>
      <x:c r="E14" s="64" t="str">
        <x:v>2026-07</x:v>
      </x:c>
      <x:c r="F14" s="64" t="str">
        <x:v>IMF</x:v>
      </x:c>
      <x:c r="G14" s="95" t="str">
        <x:v>https://www.imf.org/en/publications/weo/issues/2026/07/08/world-economic-outlook-update-july-2026?cid=ca-com-homepage-WEOET2026004</x:v>
      </x:c>
      <x:c r="H14" s="64" t="str">
        <x:v>WEO 2026年7月更新；世界增长3.0%/3.4%</x:v>
      </x:c>
    </x:row>
    <x:row r="15" ht="36" customHeight="1">
      <x:c r="A15" s="64" t="str">
        <x:v>M2</x:v>
      </x:c>
      <x:c r="B15" s="64" t="str">
        <x:v>宏观</x:v>
      </x:c>
      <x:c r="C15" s="64" t="str">
        <x:v>全球</x:v>
      </x:c>
      <x:c r="D15" s="64" t="str">
        <x:v>2026全球增长与风险</x:v>
      </x:c>
      <x:c r="E15" s="64" t="str">
        <x:v>2026-06</x:v>
      </x:c>
      <x:c r="F15" s="64" t="str">
        <x:v>World Bank</x:v>
      </x:c>
      <x:c r="G15" s="95" t="str">
        <x:v>https://www.worldbank.org/en/news/press-release/2026/06/11/global-economic-prospects-june-2026-press-release</x:v>
      </x:c>
      <x:c r="H15" s="64" t="str">
        <x:v>世界银行2026年6月GEP；全球增长2.5%</x:v>
      </x:c>
    </x:row>
    <x:row r="16" ht="36" customHeight="1">
      <x:c r="A16" s="64" t="str">
        <x:v>M3</x:v>
      </x:c>
      <x:c r="B16" s="64" t="str">
        <x:v>宏观</x:v>
      </x:c>
      <x:c r="C16" s="64" t="str">
        <x:v>新加坡</x:v>
      </x:c>
      <x:c r="D16" s="64" t="str">
        <x:v>2026 GDP区间2%-4%</x:v>
      </x:c>
      <x:c r="E16" s="64" t="str">
        <x:v>2026-05</x:v>
      </x:c>
      <x:c r="F16" s="64" t="str">
        <x:v>Singapore MTI</x:v>
      </x:c>
      <x:c r="G16" s="95" t="str">
        <x:v>https://www.mti.gov.sg/newsroom/mti-maintains-2026-gdp-growth-forecast-at--2-0-to-4-0-per-cent-/</x:v>
      </x:c>
      <x:c r="H16" s="64" t="str">
        <x:v>模型用区间中点3.0%；2027留空</x:v>
      </x:c>
    </x:row>
    <x:row r="17" ht="36" customHeight="1">
      <x:c r="A17" s="64" t="str">
        <x:v>M4</x:v>
      </x:c>
      <x:c r="B17" s="64" t="str">
        <x:v>宏观</x:v>
      </x:c>
      <x:c r="C17" s="64" t="str">
        <x:v>中国台湾</x:v>
      </x:c>
      <x:c r="D17" s="64" t="str">
        <x:v>2026 GDP 9.64%</x:v>
      </x:c>
      <x:c r="E17" s="64" t="str">
        <x:v>2026-05</x:v>
      </x:c>
      <x:c r="F17" s="64" t="str">
        <x:v>DGBAS</x:v>
      </x:c>
      <x:c r="G17" s="95" t="str">
        <x:v>https://eng.dgbas.gov.tw/News_Content.aspx?n=4438&amp;s=236299</x:v>
      </x:c>
      <x:c r="H17" s="64" t="str">
        <x:v>2026Q1 GDP +14.55%；2027留空</x:v>
      </x:c>
    </x:row>
    <x:row r="18" ht="36" customHeight="1">
      <x:c r="A18" s="64" t="str">
        <x:v>M5</x:v>
      </x:c>
      <x:c r="B18" s="64" t="str">
        <x:v>宏观</x:v>
      </x:c>
      <x:c r="C18" s="64" t="str">
        <x:v>越南</x:v>
      </x:c>
      <x:c r="D18" s="64" t="str">
        <x:v>2026/2027 GDP</x:v>
      </x:c>
      <x:c r="E18" s="64" t="str">
        <x:v>2026-05</x:v>
      </x:c>
      <x:c r="F18" s="64" t="str">
        <x:v>World Bank</x:v>
      </x:c>
      <x:c r="G18" s="95" t="str">
        <x:v>https://www.worldbank.org/en/news/press-release/2026/05/15/viet-nam-s-economy-remains-resilient-but-sustained-reforms-are-key-to-navigating-heightened-uncertainty-wb</x:v>
      </x:c>
      <x:c r="H18" s="64" t="str">
        <x:v>2026 6.8%；统计附录2027 7.1%</x:v>
      </x:c>
    </x:row>
    <x:row r="19" ht="36" customHeight="1">
      <x:c r="A19" s="64" t="str">
        <x:v>M6</x:v>
      </x:c>
      <x:c r="B19" s="64" t="str">
        <x:v>产业</x:v>
      </x:c>
      <x:c r="C19" s="64" t="str">
        <x:v>马来西亚</x:v>
      </x:c>
      <x:c r="D19" s="64" t="str">
        <x:v>数据中心/电力</x:v>
      </x:c>
      <x:c r="E19" s="64" t="str">
        <x:v>2026-04</x:v>
      </x:c>
      <x:c r="F19" s="64" t="str">
        <x:v>World Bank</x:v>
      </x:c>
      <x:c r="G19" s="95" t="str">
        <x:v>https://documents1.worldbank.org/curated/en/099040726112040954/pdf/P512544-85a8b56a-bd86-42ba-b0c7-f52661ae2879.pdf</x:v>
      </x:c>
      <x:c r="H19" s="64" t="str">
        <x:v>已签数据中心项目约5.9GW；2030潜在12.9GW</x:v>
      </x:c>
    </x:row>
    <x:row r="20" ht="36" customHeight="1">
      <x:c r="A20" s="64" t="str">
        <x:v>M7</x:v>
      </x:c>
      <x:c r="B20" s="64" t="str">
        <x:v>宏观</x:v>
      </x:c>
      <x:c r="C20" s="64" t="str">
        <x:v>丹麦</x:v>
      </x:c>
      <x:c r="D20" s="64" t="str">
        <x:v>2026/2027 GDP</x:v>
      </x:c>
      <x:c r="E20" s="64" t="str">
        <x:v>2026-06</x:v>
      </x:c>
      <x:c r="F20" s="64" t="str">
        <x:v>OECD</x:v>
      </x:c>
      <x:c r="G20" s="95" t="str">
        <x:v>https://www.oecd.org/en/publications/oecd-economic-outlook-volume-2026-issue-1_2d1956f0-en/full-report/denmark_6f3418c0.html</x:v>
      </x:c>
      <x:c r="H20" s="64" t="str">
        <x:v>2.5%/1.5%</x:v>
      </x:c>
    </x:row>
    <x:row r="21" ht="36" customHeight="1">
      <x:c r="A21" s="64" t="str">
        <x:v>M8</x:v>
      </x:c>
      <x:c r="B21" s="64" t="str">
        <x:v>宏观</x:v>
      </x:c>
      <x:c r="C21" s="64" t="str">
        <x:v>瑞典</x:v>
      </x:c>
      <x:c r="D21" s="64" t="str">
        <x:v>2026/2027 GDP</x:v>
      </x:c>
      <x:c r="E21" s="64" t="str">
        <x:v>2026-06</x:v>
      </x:c>
      <x:c r="F21" s="64" t="str">
        <x:v>OECD</x:v>
      </x:c>
      <x:c r="G21" s="95" t="str">
        <x:v>https://www.oecd.org/en/publications/oecd-economic-outlook-volume-2026-issue-1_2d1956f0-en/full-report/sweden_079b157b.html</x:v>
      </x:c>
      <x:c r="H21" s="64" t="str">
        <x:v>1.9%/2.5%</x:v>
      </x:c>
    </x:row>
    <x:row r="22" ht="36" customHeight="1">
      <x:c r="A22" s="64" t="str">
        <x:v>M9</x:v>
      </x:c>
      <x:c r="B22" s="64" t="str">
        <x:v>宏观</x:v>
      </x:c>
      <x:c r="C22" s="64" t="str">
        <x:v>挪威</x:v>
      </x:c>
      <x:c r="D22" s="64" t="str">
        <x:v>2026/2027 GDP</x:v>
      </x:c>
      <x:c r="E22" s="64" t="str">
        <x:v>2026-06</x:v>
      </x:c>
      <x:c r="F22" s="64" t="str">
        <x:v>OECD</x:v>
      </x:c>
      <x:c r="G22" s="95" t="str">
        <x:v>https://www.oecd.org/en/about/news/press-releases/2026/06/norway-should-boost-productivity-and-limit-public-spending-to-foster-strong-and-resilient-growth.html</x:v>
      </x:c>
      <x:c r="H22" s="64" t="str">
        <x:v>总GDP 1.3%/1.2%；经常账户缓冲大</x:v>
      </x:c>
    </x:row>
    <x:row r="23" ht="36" customHeight="1">
      <x:c r="A23" s="64" t="str">
        <x:v>M10</x:v>
      </x:c>
      <x:c r="B23" s="64" t="str">
        <x:v>宏观</x:v>
      </x:c>
      <x:c r="C23" s="64" t="str">
        <x:v>瑞士</x:v>
      </x:c>
      <x:c r="D23" s="64" t="str">
        <x:v>2026/2027 GDP</x:v>
      </x:c>
      <x:c r="E23" s="64" t="str">
        <x:v>2026-06</x:v>
      </x:c>
      <x:c r="F23" s="64" t="str">
        <x:v>OECD</x:v>
      </x:c>
      <x:c r="G23" s="95" t="str">
        <x:v>https://www.oecd.org/en/topics/sub-issues/economic-surveys/switzerland-economic-snapshot.html</x:v>
      </x:c>
      <x:c r="H23" s="64" t="str">
        <x:v>1.1%/1.5%</x:v>
      </x:c>
    </x:row>
    <x:row r="24" ht="36" customHeight="1">
      <x:c r="A24" s="64" t="str">
        <x:v>M11</x:v>
      </x:c>
      <x:c r="B24" s="64" t="str">
        <x:v>宏观</x:v>
      </x:c>
      <x:c r="C24" s="64" t="str">
        <x:v>澳大利亚</x:v>
      </x:c>
      <x:c r="D24" s="64" t="str">
        <x:v>2026/2027 GDP</x:v>
      </x:c>
      <x:c r="E24" s="64" t="str">
        <x:v>2026-06</x:v>
      </x:c>
      <x:c r="F24" s="64" t="str">
        <x:v>OECD</x:v>
      </x:c>
      <x:c r="G24" s="95" t="str">
        <x:v>https://www.oecd.org/en/topics/sub-issues/economic-surveys/Australia-Economic-Snapshot.html</x:v>
      </x:c>
      <x:c r="H24" s="64" t="str">
        <x:v>1.9%/1.8%</x:v>
      </x:c>
    </x:row>
    <x:row r="25" ht="36" customHeight="1">
      <x:c r="A25" s="64" t="str">
        <x:v>I1</x:v>
      </x:c>
      <x:c r="B25" s="64" t="str">
        <x:v>市场数据</x:v>
      </x:c>
      <x:c r="C25" s="64" t="str">
        <x:v>全部ETF</x:v>
      </x:c>
      <x:c r="D25" s="64" t="str">
        <x:v>价格、收益、波动、规模</x:v>
      </x:c>
      <x:c r="E25" s="64" t="str">
        <x:v>2026-07-24</x:v>
      </x:c>
      <x:c r="F25" s="64" t="str">
        <x:v>Interactive Brokers</x:v>
      </x:c>
      <x:c r="G25" s="95" t="str">
        <x:v>https://www.interactivebrokers.com/en/trading/market-data.php</x:v>
      </x:c>
      <x:c r="H25" s="64" t="str">
        <x:v>IBKR快照；收益截至2026-06-30附近，价格为2026-07快照</x:v>
      </x:c>
    </x:row>
    <x:row r="26" ht="36" customHeight="1">
      <x:c r="A26" s="64" t="str">
        <x:v>E1</x:v>
      </x:c>
      <x:c r="B26" s="64" t="str">
        <x:v>ETF</x:v>
      </x:c>
      <x:c r="C26" s="64" t="str">
        <x:v>中国台湾</x:v>
      </x:c>
      <x:c r="D26" s="64" t="str">
        <x:v>EWT估值/行业</x:v>
      </x:c>
      <x:c r="E26" s="64" t="str">
        <x:v>2026-07-22</x:v>
      </x:c>
      <x:c r="F26" s="64" t="str">
        <x:v>iShares</x:v>
      </x:c>
      <x:c r="G26" s="95" t="str">
        <x:v>https://www.ishares.com/us/products/239686/EWT</x:v>
      </x:c>
      <x:c r="H26" s="64" t="str">
        <x:v>P/E 31.23；IT约72.93%</x:v>
      </x:c>
    </x:row>
    <x:row r="27" ht="36" customHeight="1">
      <x:c r="A27" s="64" t="str">
        <x:v>E2</x:v>
      </x:c>
      <x:c r="B27" s="64" t="str">
        <x:v>ETF</x:v>
      </x:c>
      <x:c r="C27" s="64" t="str">
        <x:v>越南</x:v>
      </x:c>
      <x:c r="D27" s="64" t="str">
        <x:v>VNM行业/持仓</x:v>
      </x:c>
      <x:c r="E27" s="64" t="str">
        <x:v>2026-07</x:v>
      </x:c>
      <x:c r="F27" s="64" t="str">
        <x:v>VanEck</x:v>
      </x:c>
      <x:c r="G27" s="95" t="str">
        <x:v>https://www.vaneck.com/offshore/en/investments/vietnam-etf-vnm/</x:v>
      </x:c>
      <x:c r="H27" s="64" t="str">
        <x:v>IT约2.39%，金融/地产权重高</x:v>
      </x:c>
    </x:row>
    <x:row r="28" ht="36" customHeight="1">
      <x:c r="A28" s="64" t="str">
        <x:v>E3</x:v>
      </x:c>
      <x:c r="B28" s="64" t="str">
        <x:v>ETF</x:v>
      </x:c>
      <x:c r="C28" s="64" t="str">
        <x:v>印度</x:v>
      </x:c>
      <x:c r="D28" s="64" t="str">
        <x:v>INDA估值/行业</x:v>
      </x:c>
      <x:c r="E28" s="64" t="str">
        <x:v>2026-07-22</x:v>
      </x:c>
      <x:c r="F28" s="64" t="str">
        <x:v>iShares</x:v>
      </x:c>
      <x:c r="G28" s="95" t="str">
        <x:v>https://www.ishares.com/us/products/239659/INDA</x:v>
      </x:c>
      <x:c r="H28" s="64" t="str">
        <x:v>P/E 22.66</x:v>
      </x:c>
    </x:row>
    <x:row r="29" ht="36" customHeight="1">
      <x:c r="A29" s="64" t="str">
        <x:v>E4</x:v>
      </x:c>
      <x:c r="B29" s="64" t="str">
        <x:v>ETF</x:v>
      </x:c>
      <x:c r="C29" s="64" t="str">
        <x:v>韩国</x:v>
      </x:c>
      <x:c r="D29" s="64" t="str">
        <x:v>EWY估值/行业</x:v>
      </x:c>
      <x:c r="E29" s="64" t="str">
        <x:v>2026-07-16</x:v>
      </x:c>
      <x:c r="F29" s="64" t="str">
        <x:v>iShares</x:v>
      </x:c>
      <x:c r="G29" s="95" t="str">
        <x:v>https://www.ishares.com/us/products/239681/EWY</x:v>
      </x:c>
      <x:c r="H29" s="64" t="str">
        <x:v>P/E 22.83；IT约49.99%</x:v>
      </x:c>
    </x:row>
    <x:row r="30" ht="36" customHeight="1">
      <x:c r="A30" s="64" t="str">
        <x:v>E5</x:v>
      </x:c>
      <x:c r="B30" s="64" t="str">
        <x:v>ETF</x:v>
      </x:c>
      <x:c r="C30" s="64" t="str">
        <x:v>马来西亚</x:v>
      </x:c>
      <x:c r="D30" s="64" t="str">
        <x:v>EWM估值/行业</x:v>
      </x:c>
      <x:c r="E30" s="64" t="str">
        <x:v>2026-07-22</x:v>
      </x:c>
      <x:c r="F30" s="64" t="str">
        <x:v>iShares</x:v>
      </x:c>
      <x:c r="G30" s="95" t="str">
        <x:v>https://www.ishares.com/us/products/239669/EWM</x:v>
      </x:c>
      <x:c r="H30" s="64" t="str">
        <x:v>P/E 15.06</x:v>
      </x:c>
    </x:row>
    <x:row r="31" ht="36" customHeight="1">
      <x:c r="A31" s="64" t="str">
        <x:v>E6</x:v>
      </x:c>
      <x:c r="B31" s="64" t="str">
        <x:v>ETF</x:v>
      </x:c>
      <x:c r="C31" s="64" t="str">
        <x:v>美国</x:v>
      </x:c>
      <x:c r="D31" s="64" t="str">
        <x:v>VTI估值</x:v>
      </x:c>
      <x:c r="E31" s="64" t="str">
        <x:v>2026-05-31</x:v>
      </x:c>
      <x:c r="F31" s="64" t="str">
        <x:v>Vanguard</x:v>
      </x:c>
      <x:c r="G31" s="95" t="str">
        <x:v>https://investor.vanguard.com/investment-products/etfs/profile/vti</x:v>
      </x:c>
      <x:c r="H31" s="64" t="str">
        <x:v>P/E 27.4</x:v>
      </x:c>
    </x:row>
    <x:row r="32" ht="36" customHeight="1">
      <x:c r="A32" s="64" t="str">
        <x:v>E7</x:v>
      </x:c>
      <x:c r="B32" s="64" t="str">
        <x:v>ETF</x:v>
      </x:c>
      <x:c r="C32" s="64" t="str">
        <x:v>印度尼西亚</x:v>
      </x:c>
      <x:c r="D32" s="64" t="str">
        <x:v>EIDO估值/行业</x:v>
      </x:c>
      <x:c r="E32" s="64" t="str">
        <x:v>2026-07-17</x:v>
      </x:c>
      <x:c r="F32" s="64" t="str">
        <x:v>iShares</x:v>
      </x:c>
      <x:c r="G32" s="95" t="str">
        <x:v>https://www.ishares.com/us/products/239661/ishares-msci-indonesia-etf</x:v>
      </x:c>
      <x:c r="H32" s="64" t="str">
        <x:v>P/E 9.80</x:v>
      </x:c>
    </x:row>
    <x:row r="33" ht="36" customHeight="1">
      <x:c r="A33" s="64" t="str">
        <x:v>E8</x:v>
      </x:c>
      <x:c r="B33" s="64" t="str">
        <x:v>ETF</x:v>
      </x:c>
      <x:c r="C33" s="64" t="str">
        <x:v>新加坡</x:v>
      </x:c>
      <x:c r="D33" s="64" t="str">
        <x:v>EWS估值/行业</x:v>
      </x:c>
      <x:c r="E33" s="64" t="str">
        <x:v>2026-07-22</x:v>
      </x:c>
      <x:c r="F33" s="64" t="str">
        <x:v>iShares</x:v>
      </x:c>
      <x:c r="G33" s="95" t="str">
        <x:v>https://www.ishares.com/us/products/239678/ishares-msci-singapore-capped-etf</x:v>
      </x:c>
      <x:c r="H33" s="64" t="str">
        <x:v>P/E 18.42</x:v>
      </x:c>
    </x:row>
    <x:row r="34" ht="36" customHeight="1">
      <x:c r="A34" s="64" t="str">
        <x:v>E9</x:v>
      </x:c>
      <x:c r="B34" s="64" t="str">
        <x:v>ETF</x:v>
      </x:c>
      <x:c r="C34" s="64" t="str">
        <x:v>中国</x:v>
      </x:c>
      <x:c r="D34" s="64" t="str">
        <x:v>MCHI估值/行业</x:v>
      </x:c>
      <x:c r="E34" s="64" t="str">
        <x:v>2026-07-22</x:v>
      </x:c>
      <x:c r="F34" s="64" t="str">
        <x:v>iShares</x:v>
      </x:c>
      <x:c r="G34" s="95" t="str">
        <x:v>https://www.ishares.com/us/products/239619/MCHI</x:v>
      </x:c>
      <x:c r="H34" s="64" t="str">
        <x:v>P/E 13.68</x:v>
      </x:c>
    </x:row>
    <x:row r="35" ht="36" customHeight="1">
      <x:c r="A35" s="64" t="str">
        <x:v>E10</x:v>
      </x:c>
      <x:c r="B35" s="64" t="str">
        <x:v>ETF</x:v>
      </x:c>
      <x:c r="C35" s="64" t="str">
        <x:v>波兰</x:v>
      </x:c>
      <x:c r="D35" s="64" t="str">
        <x:v>EPOL估值/行业</x:v>
      </x:c>
      <x:c r="E35" s="64" t="str">
        <x:v>2026-07-22</x:v>
      </x:c>
      <x:c r="F35" s="64" t="str">
        <x:v>iShares</x:v>
      </x:c>
      <x:c r="G35" s="95" t="str">
        <x:v>https://www.ishares.com/us/products/239676/</x:v>
      </x:c>
      <x:c r="H35" s="64" t="str">
        <x:v>P/E 15.54</x:v>
      </x:c>
    </x:row>
    <x:row r="36" ht="36" customHeight="1">
      <x:c r="A36" s="64" t="str">
        <x:v>E11</x:v>
      </x:c>
      <x:c r="B36" s="64" t="str">
        <x:v>ETF</x:v>
      </x:c>
      <x:c r="C36" s="64" t="str">
        <x:v>丹麦</x:v>
      </x:c>
      <x:c r="D36" s="64" t="str">
        <x:v>EDEN估值/行业</x:v>
      </x:c>
      <x:c r="E36" s="64" t="str">
        <x:v>2026-06-08</x:v>
      </x:c>
      <x:c r="F36" s="64" t="str">
        <x:v>iShares</x:v>
      </x:c>
      <x:c r="G36" s="95" t="str">
        <x:v>https://www.ishares.com/us/products/overview-v3-ishares-fund-data?portfolioId=239621&amp;seoSlug=ishares-msci-denmark-capped-etf</x:v>
      </x:c>
      <x:c r="H36" s="64" t="str">
        <x:v>P/E 16.51；医疗约34.67%</x:v>
      </x:c>
    </x:row>
    <x:row r="37" ht="36" customHeight="1">
      <x:c r="A37" s="64" t="str">
        <x:v>E12</x:v>
      </x:c>
      <x:c r="B37" s="64" t="str">
        <x:v>ETF</x:v>
      </x:c>
      <x:c r="C37" s="64" t="str">
        <x:v>瑞典</x:v>
      </x:c>
      <x:c r="D37" s="64" t="str">
        <x:v>EWD估值/行业</x:v>
      </x:c>
      <x:c r="E37" s="64" t="str">
        <x:v>2026-07-20</x:v>
      </x:c>
      <x:c r="F37" s="64" t="str">
        <x:v>iShares</x:v>
      </x:c>
      <x:c r="G37" s="95" t="str">
        <x:v>https://www.ishares.com/us/products/239684/ishares-msci-sweden-etf</x:v>
      </x:c>
      <x:c r="H37" s="64" t="str">
        <x:v>P/E 18.15</x:v>
      </x:c>
    </x:row>
    <x:row r="38" ht="36" customHeight="1">
      <x:c r="A38" s="64" t="str">
        <x:v>E13</x:v>
      </x:c>
      <x:c r="B38" s="64" t="str">
        <x:v>ETF</x:v>
      </x:c>
      <x:c r="C38" s="64" t="str">
        <x:v>挪威</x:v>
      </x:c>
      <x:c r="D38" s="64" t="str">
        <x:v>ENOR估值/行业</x:v>
      </x:c>
      <x:c r="E38" s="64" t="str">
        <x:v>2026-07-21</x:v>
      </x:c>
      <x:c r="F38" s="64" t="str">
        <x:v>iShares</x:v>
      </x:c>
      <x:c r="G38" s="95" t="str">
        <x:v>https://www.ishares.com/us/products/239673/ishares-msci-norway-capped-etf</x:v>
      </x:c>
      <x:c r="H38" s="64" t="str">
        <x:v>P/E 14.92</x:v>
      </x:c>
    </x:row>
    <x:row r="39" ht="36" customHeight="1">
      <x:c r="A39" s="64" t="str">
        <x:v>E14</x:v>
      </x:c>
      <x:c r="B39" s="64" t="str">
        <x:v>ETF</x:v>
      </x:c>
      <x:c r="C39" s="64" t="str">
        <x:v>荷兰</x:v>
      </x:c>
      <x:c r="D39" s="64" t="str">
        <x:v>EWN估值/行业</x:v>
      </x:c>
      <x:c r="E39" s="64" t="str">
        <x:v>2026-07-17</x:v>
      </x:c>
      <x:c r="F39" s="64" t="str">
        <x:v>iShares</x:v>
      </x:c>
      <x:c r="G39" s="95" t="str">
        <x:v>https://www.ishares.com/us/products/239671/ishares-msci-netherlands-etf</x:v>
      </x:c>
      <x:c r="H39" s="64" t="str">
        <x:v>P/E 20.26</x:v>
      </x:c>
    </x:row>
    <x:row r="40" ht="36" customHeight="1">
      <x:c r="A40" s="64" t="str">
        <x:v>E15</x:v>
      </x:c>
      <x:c r="B40" s="64" t="str">
        <x:v>ETF</x:v>
      </x:c>
      <x:c r="C40" s="64" t="str">
        <x:v>西班牙</x:v>
      </x:c>
      <x:c r="D40" s="64" t="str">
        <x:v>EWP估值/行业</x:v>
      </x:c>
      <x:c r="E40" s="64" t="str">
        <x:v>2026-07-22</x:v>
      </x:c>
      <x:c r="F40" s="64" t="str">
        <x:v>iShares</x:v>
      </x:c>
      <x:c r="G40" s="95" t="str">
        <x:v>https://www.ishares.com/us/products/239683/ishares-msci-spain-capped-etf</x:v>
      </x:c>
      <x:c r="H40" s="64" t="str">
        <x:v>P/E 15.68；金融+公用事业权重高</x:v>
      </x:c>
    </x:row>
    <x:row r="41" ht="36" customHeight="1">
      <x:c r="A41" s="64" t="str">
        <x:v>E16</x:v>
      </x:c>
      <x:c r="B41" s="64" t="str">
        <x:v>ETF</x:v>
      </x:c>
      <x:c r="C41" s="64" t="str">
        <x:v>巴西</x:v>
      </x:c>
      <x:c r="D41" s="64" t="str">
        <x:v>EWZ估值/行业</x:v>
      </x:c>
      <x:c r="E41" s="64" t="str">
        <x:v>2026-07-22</x:v>
      </x:c>
      <x:c r="F41" s="64" t="str">
        <x:v>iShares</x:v>
      </x:c>
      <x:c r="G41" s="95" t="str">
        <x:v>https://www.ishares.com/us/products/239612/ishares-msci-brazil-capped-etf</x:v>
      </x:c>
      <x:c r="H41" s="64" t="str">
        <x:v>P/E 10.70</x:v>
      </x:c>
    </x:row>
    <x:row r="42" ht="36" customHeight="1">
      <x:c r="A42" s="64" t="str">
        <x:v>E17</x:v>
      </x:c>
      <x:c r="B42" s="64" t="str">
        <x:v>ETF</x:v>
      </x:c>
      <x:c r="C42" s="64" t="str">
        <x:v>瑞士</x:v>
      </x:c>
      <x:c r="D42" s="64" t="str">
        <x:v>EWL估值/行业</x:v>
      </x:c>
      <x:c r="E42" s="64" t="str">
        <x:v>2026-07-20</x:v>
      </x:c>
      <x:c r="F42" s="64" t="str">
        <x:v>iShares</x:v>
      </x:c>
      <x:c r="G42" s="95" t="str">
        <x:v>https://www.ishares.com/us/products/239685/</x:v>
      </x:c>
      <x:c r="H42" s="64" t="str">
        <x:v>P/E 24.30</x:v>
      </x:c>
    </x:row>
    <x:row r="43" ht="36" customHeight="1">
      <x:c r="A43" s="64" t="str">
        <x:v>E18</x:v>
      </x:c>
      <x:c r="B43" s="64" t="str">
        <x:v>ETF</x:v>
      </x:c>
      <x:c r="C43" s="64" t="str">
        <x:v>澳大利亚</x:v>
      </x:c>
      <x:c r="D43" s="64" t="str">
        <x:v>EWA估值/行业</x:v>
      </x:c>
      <x:c r="E43" s="64" t="str">
        <x:v>2026-07-22</x:v>
      </x:c>
      <x:c r="F43" s="64" t="str">
        <x:v>iShares</x:v>
      </x:c>
      <x:c r="G43" s="95" t="str">
        <x:v>https://www.ishares.com/us/products/239607/ishares-msci-australia-etf</x:v>
      </x:c>
      <x:c r="H43" s="64" t="str">
        <x:v>P/E 21.39</x:v>
      </x:c>
    </x:row>
    <x:row r="44" ht="36" customHeight="1">
      <x:c r="A44" s="64" t="str">
        <x:v>E19</x:v>
      </x:c>
      <x:c r="B44" s="64" t="str">
        <x:v>ETF</x:v>
      </x:c>
      <x:c r="C44" s="64" t="str">
        <x:v>日本</x:v>
      </x:c>
      <x:c r="D44" s="64" t="str">
        <x:v>EWJ估值/行业</x:v>
      </x:c>
      <x:c r="E44" s="64" t="str">
        <x:v>2026-07-22</x:v>
      </x:c>
      <x:c r="F44" s="64" t="str">
        <x:v>iShares</x:v>
      </x:c>
      <x:c r="G44" s="95" t="str">
        <x:v>https://www.ishares.com/us/products/239665/ishares-msci-japan-etf</x:v>
      </x:c>
      <x:c r="H44" s="64" t="str">
        <x:v>P/E 18.91</x:v>
      </x:c>
    </x:row>
    <x:row r="45" ht="36" customHeight="1">
      <x:c r="A45" s="65" t="str">
        <x:v>E20</x:v>
      </x:c>
      <x:c r="B45" s="65" t="str">
        <x:v>ETF</x:v>
      </x:c>
      <x:c r="C45" s="65" t="str">
        <x:v>墨西哥</x:v>
      </x:c>
      <x:c r="D45" s="65" t="str">
        <x:v>EWW估值/行业</x:v>
      </x:c>
      <x:c r="E45" s="65" t="str">
        <x:v>2026-07-22</x:v>
      </x:c>
      <x:c r="F45" s="65" t="str">
        <x:v>iShares</x:v>
      </x:c>
      <x:c r="G45" s="96" t="str">
        <x:v>https://www.ishares.com/us/products/239670/ISHARES-MSCI-SOUTH-KOREA-ETF/</x:v>
      </x:c>
      <x:c r="H45" s="65" t="str">
        <x:v>P/E 13.60；iShares页面实际产品为EWW</x:v>
      </x:c>
    </x:row>
  </x:sheetData>
  <x:mergeCells>
    <x:mergeCell ref="A1:H1"/>
    <x:mergeCell ref="A2:H2"/>
  </x:mergeCells>
  <x:conditionalFormatting sqref="D5:D10">
    <x:cfRule type="expression" dxfId="4" priority="1">
      <x:formula>D5="通过"</x:formula>
    </x:cfRule>
    <x:cfRule type="expression" dxfId="5" priority="2">
      <x:formula>D5="检查"</x:formula>
    </x:cfRule>
  </x:conditionalFormatting>
  <x:pageMargins left="0.7" right="0.7" top="0.75" bottom="0.75" header="0.3" footer="0.3"/>
</x:worksheet>
</file>